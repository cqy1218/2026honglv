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esktop\"/>
    </mc:Choice>
  </mc:AlternateContent>
  <bookViews>
    <workbookView windowWidth="17220" windowHeight="8550" activeTab="1"/>
  </bookViews>
  <sheets>
    <sheet name="展示" sheetId="2" r:id="rId1"/>
    <sheet name="手动更新" sheetId="3" r:id="rId2"/>
    <sheet name="路演答辩顺序" sheetId="1" r:id="rId3"/>
    <sheet name="数据表"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<sst xmlns="http://schemas.openxmlformats.org/spreadsheetml/2006/main" count="2655" uniqueCount="647">
  <si>
    <t>公益1组</t>
  </si>
  <si>
    <t>公益2组</t>
  </si>
  <si>
    <t>创意1组</t>
  </si>
  <si>
    <t>创意2组</t>
  </si>
  <si>
    <t>创意3组</t>
  </si>
  <si>
    <t>学校</t>
  </si>
  <si>
    <t>项目名称</t>
  </si>
  <si>
    <t>得分</t>
  </si>
  <si>
    <t>名次</t>
  </si>
  <si>
    <t>垒球冠军计划—青少年垒球运动公益推广的引领者</t>
  </si>
  <si>
    <t>沧海补蛎—海岸带保护修复先锋</t>
  </si>
  <si>
    <t>沙漠里的家——为三百万戈壁牧民 焕新北疆生态牧居</t>
  </si>
  <si>
    <t>科锐智气——特种气体精密测控装置破局者</t>
  </si>
  <si>
    <t>鳞烯双致——石墨烯/玻璃鳞片协同长效海洋防腐涂层创新者</t>
  </si>
  <si>
    <t>第1名</t>
  </si>
  <si>
    <t>铭记你的名字——助力烈士“回家”新标杆</t>
  </si>
  <si>
    <t>青联世界</t>
  </si>
  <si>
    <t>光合零碳——全蒸镀钙钛矿光伏补光一体化智慧农业温室</t>
  </si>
  <si>
    <t>智启凌空——集群智能决策模型虚实迁移技术开拓者</t>
  </si>
  <si>
    <t>见微知竹-打破高端垄断的绿色竹基微晶纤维素</t>
  </si>
  <si>
    <t>第2名</t>
  </si>
  <si>
    <t>智润九曲——借数智慧脑破千库调度难题，引一河清流润泽沿黄万家</t>
  </si>
  <si>
    <t>牡丹春动育新声——古老昆曲的青春故事：让昆曲“曲高不和寡”</t>
  </si>
  <si>
    <t>帧相——AI焕新历史影像，赓续精神血脉</t>
  </si>
  <si>
    <t>肾利者——尿液驱动肾癌“早筛-精准递送”一体化解决方案</t>
  </si>
  <si>
    <t>丹芯——耐药菌快速药敏数字芯片领航者</t>
  </si>
  <si>
    <t>第3名</t>
  </si>
  <si>
    <t>救·在身边</t>
  </si>
  <si>
    <t>扣响未来——传承中国女排精神新力量 创领大众排球运动新生态</t>
  </si>
  <si>
    <t>稻富万家——农机农艺赋能再生稻振兴计划，提质增产助农增收</t>
  </si>
  <si>
    <t>见微知著——超分辨电化学发光显微成像模块</t>
  </si>
  <si>
    <t>光芯智连——新一代AI智算中心光互连集成芯片</t>
  </si>
  <si>
    <t>第4名</t>
  </si>
  <si>
    <t>无毒有偶——青少年禁毒公益新生态构建者</t>
  </si>
  <si>
    <t>归途明灯——涉罪青少年矫正与成长引航</t>
  </si>
  <si>
    <t>乡村鸿雁——合成生物学引领赤霉素GA4国际领先践行农业强国</t>
  </si>
  <si>
    <t>肠有灵硒——结直肠癌放疗增敏与放射损伤保护一体化治疗推动者</t>
  </si>
  <si>
    <t>慧谱清源——水环境高光谱智能监测领航者</t>
  </si>
  <si>
    <t>第5名</t>
  </si>
  <si>
    <t>智育星火—AI赋能新时代青少年国防教育</t>
  </si>
  <si>
    <t>永远的丰碑——隐蔽战线英烈档案挖掘、保护与传播</t>
  </si>
  <si>
    <t>育优莓，兴万农——以创新有机肥助力蓝莓产业富农兴农</t>
  </si>
  <si>
    <t>智焊无界——大型船舶超厚板智能焊接装备领航者</t>
  </si>
  <si>
    <t>“臻”芯无虞——超高保真分子诊断预混液国产领航者</t>
  </si>
  <si>
    <t>第6名</t>
  </si>
  <si>
    <t>法润电商--法律服务赋能农村电商助力乡村振兴</t>
  </si>
  <si>
    <t>工脉铸魂——红色工业文化“三阶”育人推动者</t>
  </si>
  <si>
    <t>出漆智胜——高效智能割漆机器人 助力漆农减负与漆产业发展</t>
  </si>
  <si>
    <t>碳寻新剂—国内首创菌渣基药肥一体化肥料添加剂</t>
  </si>
  <si>
    <t>智声慧检——用于城镇埋地燃气管道的智能声学内检测器</t>
  </si>
  <si>
    <t>第7名</t>
  </si>
  <si>
    <t>铁军薪火：海外新四军抗战档案抢救整理与红色基因传承新范式</t>
  </si>
  <si>
    <t>逐光而行——以京东“阳光天使”为起点的新业态下助残就业新路径</t>
  </si>
  <si>
    <t>稻香菇事——轮作兴农乡村振兴力行者</t>
  </si>
  <si>
    <t>鉴布如飞—新一代柔性全景自增强织造检测高效随诊师</t>
  </si>
  <si>
    <t>信安哨兵——地铁插拔式信号设备智能安全预检系统</t>
  </si>
  <si>
    <t>第8名</t>
  </si>
  <si>
    <t>有爱无碍，赋能残疾人共享社会发展成果</t>
  </si>
  <si>
    <t>人间重晚晴——守护生命最后一公里的“尊严”</t>
  </si>
  <si>
    <t>红途戎耀——退役大学生国防教育赋能计划</t>
  </si>
  <si>
    <t>慧眼鉴晶-晶圆异常针痕及表面缺陷检测领航者</t>
  </si>
  <si>
    <t>藻豆生鲜—新型藻豆复合蛋白基料引领者</t>
  </si>
  <si>
    <t>第9名</t>
  </si>
  <si>
    <t>铁脉薪传—铁道兵精神传承专列</t>
  </si>
  <si>
    <t>橙光智愿——全国首个铁路志愿全周期赋能学堂</t>
  </si>
  <si>
    <t>忆海拾贝 钿启新航——非遗螺钿的幻彩新生</t>
  </si>
  <si>
    <t>热控凉方——高集成封装芯片散热用高导热界面材料</t>
  </si>
  <si>
    <t>深地之眼—隧洞施工多技术融合智能探测模块践行者</t>
  </si>
  <si>
    <t>第10名</t>
  </si>
  <si>
    <t>“骑”心协力“救”在身边——快递外卖从业者急救素养提升公益行动</t>
  </si>
  <si>
    <t>青春π先锋公益——关爱留守儿童，让心不再孤单</t>
  </si>
  <si>
    <t>光净清源——有机毒害污水激光空化降解缔造者</t>
  </si>
  <si>
    <t>工业智瞳——新时代高水平工业智能装备软件AI测试安全守护者</t>
  </si>
  <si>
    <t>星驭——面向卫星互联网激光通信的2μm智能化种子源</t>
  </si>
  <si>
    <t>第11名</t>
  </si>
  <si>
    <t>创芯速鉴-高标准快检护航果蔬无忧出海</t>
  </si>
  <si>
    <t>第12名</t>
  </si>
  <si>
    <t>来源：路演答辩顺序.pdf</t>
  </si>
  <si>
    <t>学校名称</t>
  </si>
  <si>
    <t>参赛赛道</t>
  </si>
  <si>
    <t>参赛组别</t>
  </si>
  <si>
    <t>路演项目组</t>
  </si>
  <si>
    <t>答辩顺序</t>
  </si>
  <si>
    <t>地灾卫士--毫米级滑坡灾害监测预警护航者</t>
  </si>
  <si>
    <t>江苏海洋大学</t>
  </si>
  <si>
    <t>高教主赛道</t>
  </si>
  <si>
    <t>本科生创意组</t>
  </si>
  <si>
    <t>高教主赛道本科生创意组1</t>
  </si>
  <si>
    <t>智抗生物——禽病抗体生产源头革新者</t>
  </si>
  <si>
    <t>扬州大学</t>
  </si>
  <si>
    <t>智巡松宁——国际首创松材线虫病全病程智能监测防控系统</t>
  </si>
  <si>
    <t>南京林业大学</t>
  </si>
  <si>
    <t>“铜”心圆梦——大尺寸高导单晶铜创新性制备解决方案</t>
  </si>
  <si>
    <t>常州大学</t>
  </si>
  <si>
    <t>蚕安心—智能双效蚕用饲料添加剂领航者</t>
  </si>
  <si>
    <t>江苏科技大学</t>
  </si>
  <si>
    <t>肾易检—中老年群体居家急性肾损伤早筛仪</t>
  </si>
  <si>
    <t>南京师范大学</t>
  </si>
  <si>
    <t>“壳不容缓”——新能源汽车高安全电池包壳体关键技术创新者</t>
  </si>
  <si>
    <t>扬州职业技术大学</t>
  </si>
  <si>
    <t>御激神清——ROS响应靶向防治术后认知功能障碍新方案</t>
  </si>
  <si>
    <t>徐州医科大学</t>
  </si>
  <si>
    <t>叶检先锋——航空发动机复杂曲面叶片智能检测领航者</t>
  </si>
  <si>
    <t>南京理工大学紫金学院</t>
  </si>
  <si>
    <t>“芯”之所“载”——面向双偏振相控阵气象雷达的宽频高动态功率检波芯片</t>
  </si>
  <si>
    <t>南京信息工程大学</t>
  </si>
  <si>
    <t>追光探微——国产首创超低亮度精密测量亮度计</t>
  </si>
  <si>
    <t>南京理工大学</t>
  </si>
  <si>
    <t>绿碳纪元——煤炭干法分选产业应用变革的领航者</t>
  </si>
  <si>
    <t>中国矿业大学</t>
  </si>
  <si>
    <t>极热膜盾——深海潜油泵超高温绝缘材料护航者</t>
  </si>
  <si>
    <t>苏州工学院</t>
  </si>
  <si>
    <t>灵机一触—面向具身智能的柔性触觉传感领航者</t>
  </si>
  <si>
    <t>南京邮电大学</t>
  </si>
  <si>
    <t>睛彩视界-"自制氧隐形眼镜"关键材料与技术的开拓者</t>
  </si>
  <si>
    <t>金陵科技学院</t>
  </si>
  <si>
    <t>零触细胞球——微重力三维细胞培养开启高端细胞治疗新篇章</t>
  </si>
  <si>
    <t>苏州大学</t>
  </si>
  <si>
    <t>芯视界—多重呼吸道病原定量芯片领航者</t>
  </si>
  <si>
    <t>南京医科大学</t>
  </si>
  <si>
    <t>智御天盾——面向敏感区域的相控阵多目标无人机精准防控系统</t>
  </si>
  <si>
    <t>方兴味艾--生物合成呈色风味剂赋能植物蛋白肉</t>
  </si>
  <si>
    <t>江南大学</t>
  </si>
  <si>
    <t>绿电直连—风电精准溯源“源荷智慧监控”一体化管家</t>
  </si>
  <si>
    <t>南京工程学院</t>
  </si>
  <si>
    <t>见微知痹——类风湿性关节炎创新诊断试剂研发及临床转化应用</t>
  </si>
  <si>
    <t>南京中医药大学</t>
  </si>
  <si>
    <t>无中生有-无芯传磁电磁装备开拓者</t>
  </si>
  <si>
    <t>东南大学</t>
  </si>
  <si>
    <t>高教主赛道本科生创意组2</t>
  </si>
  <si>
    <t>无锡学院</t>
  </si>
  <si>
    <t>南京农业大学</t>
  </si>
  <si>
    <t>南京工业大学</t>
  </si>
  <si>
    <t>徐州工程学院</t>
  </si>
  <si>
    <t>南京航空航天大学</t>
  </si>
  <si>
    <t>观鱼评水——鱼类智能监测与水体生态健康评价系统</t>
  </si>
  <si>
    <t>苏州科技大学</t>
  </si>
  <si>
    <t>焕刃新生—盾构刀具再生技术领航者</t>
  </si>
  <si>
    <t>河海大学</t>
  </si>
  <si>
    <t>“耦”断“频”安—面向多频段微基站的超小型一体化天线阵列设计方案</t>
  </si>
  <si>
    <t>南通大学</t>
  </si>
  <si>
    <t>量电智检——基于蛋白量子比特的阿尔兹海默症生物快检技术</t>
  </si>
  <si>
    <t>油燃而生-稠油火驱技术低碳高效开发引领者</t>
  </si>
  <si>
    <t>讯达星通——面向天空地融合的多制式卫星终端</t>
  </si>
  <si>
    <t>岁月留金——桐油基可逆金质文物自愈合封护材料</t>
  </si>
  <si>
    <t>凌云沐雨——新一代人工影响天气智能作业领航者</t>
  </si>
  <si>
    <t>低强度脉冲超声技术实现Leydig细胞中的男性生育重塑</t>
  </si>
  <si>
    <t>南京大学</t>
  </si>
  <si>
    <t>高教主赛道本科生创意组3</t>
  </si>
  <si>
    <t>江苏师范大学</t>
  </si>
  <si>
    <t>江苏食品药品职业技术学院</t>
  </si>
  <si>
    <t>天迅——百G极速全天候共生通信系统</t>
  </si>
  <si>
    <t>光极曜源——引领工业CT成像革命的光阴极X射线管</t>
  </si>
  <si>
    <t>能级慧算——能碳一体化微电网AI治理平台</t>
  </si>
  <si>
    <t>柔触灵犀—柔性触觉压力传感贴片领军者</t>
  </si>
  <si>
    <t>分贝引擎</t>
  </si>
  <si>
    <t>神农菌鉴——首创肠道精准营养评价系统</t>
  </si>
  <si>
    <t>VOClear——专研低铂高效催化剂 VOCs废气净化引领者</t>
  </si>
  <si>
    <t>江苏理工学院</t>
  </si>
  <si>
    <t>冲出虫围——固本筑盾，开辟畜牧业弓形虫病绿色“净护”新路径</t>
  </si>
  <si>
    <t>智光筑芯——面向高速光互连的超宽带微型化绝热耦合器</t>
  </si>
  <si>
    <t>见微知“炎”——精准血流感染筛查技术引领者</t>
  </si>
  <si>
    <t>融酶益生——高品质低聚木糖绿色智造者</t>
  </si>
  <si>
    <t>混天绫-超细长重载柔性机械臂开拓者</t>
  </si>
  <si>
    <t>高教主赛道本科生创意组4</t>
  </si>
  <si>
    <t>渣悟净——智滤“膜”法开创微细粒废渣高值化蜕变新纪元</t>
  </si>
  <si>
    <t>磁心协力</t>
  </si>
  <si>
    <t>与光酮行———查尔酮合成新技术领航者</t>
  </si>
  <si>
    <t>光擎智算——Micro-LED光子计算时代领航者</t>
  </si>
  <si>
    <t>南研新丝——中药超分子生发创新药物先行者</t>
  </si>
  <si>
    <t>问药于芯——面向药物评价的多模态心脏类器官芯片</t>
  </si>
  <si>
    <t>返谱归真——新一代自然光显示薄膜开创者</t>
  </si>
  <si>
    <t>放电诊测通——基于CVT法的高压开关设备局部放电信号在线监测新技术</t>
  </si>
  <si>
    <t>透明海洋——深海牧场全域感知高扩展潜航器引领者</t>
  </si>
  <si>
    <t>灌芯清脓——开创脓毒症血液灌流源头治疗新纪元</t>
  </si>
  <si>
    <t>氢而易取——高密度硼氢化锂储氢赋能氢气压缩机</t>
  </si>
  <si>
    <t>旋机妙算—“双旋双控双压”悬挂型小麦耕播装备革新者</t>
  </si>
  <si>
    <t>智光忆阵--高精度低功耗光电忆阻器先行者</t>
  </si>
  <si>
    <t>声轻气爽——新一代通风隔声领航者</t>
  </si>
  <si>
    <t>智鳍驭流——引领船舶高效推进的仿生智控驭流鳍</t>
  </si>
  <si>
    <t>固氢智电——高寒地区用固态储氢移动电源</t>
  </si>
  <si>
    <t>江苏大学</t>
  </si>
  <si>
    <t>前途有量—新型高品质全无机钙钛矿量子点粉末</t>
  </si>
  <si>
    <t>宿迁学院</t>
  </si>
  <si>
    <t>不“绒”置疑——羽绒质量鉴定与分级高能AI检筛先锋者</t>
  </si>
  <si>
    <t>极润智造——面向极端工况的离子液体润滑剂</t>
  </si>
  <si>
    <t>榴光焕彩——高性能生物质储能硬碳材料领航者</t>
  </si>
  <si>
    <t>波隐——面向新型电力系统SST的高效电磁屏蔽组件</t>
  </si>
  <si>
    <t>高教主赛道本科生创意组5</t>
  </si>
  <si>
    <t>灵触智控—微创手术机器人力感知与反馈系统领跑者</t>
  </si>
  <si>
    <t>擎霄安源——新一代低空固态电池技术先行者</t>
  </si>
  <si>
    <t>水听为实—国内深海资源探测换能器的引领者</t>
  </si>
  <si>
    <t>空域滤波——电磁频谱的“烛龙”之眼</t>
  </si>
  <si>
    <t>护盾强化——多场耦合赋能抗疲劳制造技术的创导者</t>
  </si>
  <si>
    <t>南通理工学院</t>
  </si>
  <si>
    <t>生命天眼——CAR-T/CAR-NK细胞可视化的联合药物</t>
  </si>
  <si>
    <t>棉棉聚到</t>
  </si>
  <si>
    <t>磐石凝刃—TBM掘进参数智能调控与高效耐磨双擎引领者</t>
  </si>
  <si>
    <t>智瞳慧拧——面向精密制造的微米螺丝智能锁付电批</t>
  </si>
  <si>
    <t>纳米探微——面向心血管急症早期检测的原子级纳米酶制造商</t>
  </si>
  <si>
    <t>极净科技 ——以国内首款非贵金属电催化阳极破解医药废水处理难题</t>
  </si>
  <si>
    <t>泵动未来：新一代混流泵智能诊断与控制系统的引领者</t>
  </si>
  <si>
    <t>创面哨兵——糖尿病足创面继发感染早期识别智能敷料先行者</t>
  </si>
  <si>
    <t>脂引未来——面向精密减速器的高端长效润滑脂</t>
  </si>
  <si>
    <t>灵眸无界——面向高端装备需求的高性能光学镜片制造方案</t>
  </si>
  <si>
    <t>排汗零滞——仿生叶尖单向导湿布料领航者</t>
  </si>
  <si>
    <t>罕药先筛——罕见病药物活体高通量早筛服务领航者</t>
  </si>
  <si>
    <t>光热领航全栈国产化光热DNI感知系统先行者</t>
  </si>
  <si>
    <t>智光精廓——智能激光三维轮廓测量领航者</t>
  </si>
  <si>
    <t>得力“焊”将——船舶中厚板激光大电流复合焊技术引领者</t>
  </si>
  <si>
    <t>屑塑成器-固相增材金属再生技术领导者</t>
  </si>
  <si>
    <t>高教主赛道本科生创意组6</t>
  </si>
  <si>
    <t>驭能方舟——面向海内外复杂场景的AI多能协同移动供电解决方案</t>
  </si>
  <si>
    <t>玉满仓 高含水玉米智能低损脱粒领航者</t>
  </si>
  <si>
    <t>链焰智链-面向制造工厂的数字孪生智能消防系统</t>
  </si>
  <si>
    <t>微注慧控——AI驱动的全自动显微注射平台</t>
  </si>
  <si>
    <t>脑电智译—新一代非侵入式脑机接口模拟前端领航者</t>
  </si>
  <si>
    <t>南京工业职业技术大学</t>
  </si>
  <si>
    <t>微光智显——驱动AR虚实融合的微显示芯片</t>
  </si>
  <si>
    <t>至纯芯源——半导体电子级超纯水国产化领航者</t>
  </si>
  <si>
    <t>炭铸粮安——国内首创新型人工合成泥炭</t>
  </si>
  <si>
    <t>数驱焊匠-船用多支管智能焊接装备引领者</t>
  </si>
  <si>
    <t>动态可逆—柔性可升值回收的海洋除污多孔材料领航者</t>
  </si>
  <si>
    <t>镓启视界:柔性光学感知单元先行者</t>
  </si>
  <si>
    <t>天“工”开物——首创炮射共轴双旋翼无人机</t>
  </si>
  <si>
    <t>隧智涌安——复杂条件水工隧洞突涌水感知装备及预警平台</t>
  </si>
  <si>
    <t>甾途致远——新一代甾体药物生物制造开拓者</t>
  </si>
  <si>
    <t>阑芯驭光 智启星程——面向星载光学载荷的精密光阑系统</t>
  </si>
  <si>
    <t>鼻翼双生——双区梯度鼻骨软骨仿生修复支架先行者</t>
  </si>
  <si>
    <t>精卫——面向异形元件贴装的定位引导模组护航者</t>
  </si>
  <si>
    <t>基因“显微镜”：TFO介导的精准支原体早诊</t>
  </si>
  <si>
    <t>零机一动——输电线路绝缘子智慧检测低空飞行器</t>
  </si>
  <si>
    <t>碳埋油出——新型溶剂助力双碳落地，推动低渗油藏高效开发</t>
  </si>
  <si>
    <t>砖心之至-古城墙保护与修复材料技术领航者</t>
  </si>
  <si>
    <t>高教主赛道本科生创意组7</t>
  </si>
  <si>
    <t>国胶强芯——先进复材用特种高温密封胶条国产化破局者</t>
  </si>
  <si>
    <t>光疗科技——肝癌靶向光动力免疫治疗系统</t>
  </si>
  <si>
    <t>光传智联——面向无源传感的自供能光互联模块</t>
  </si>
  <si>
    <t>根际卫士——以微生物捕食者为核心的健康根际微生态调控新技术</t>
  </si>
  <si>
    <t>精菌制造——“活药”研发早筛领域的领跑者</t>
  </si>
  <si>
    <t>智焊领航——豪华邮轮薄板磁控激光焊接领航者</t>
  </si>
  <si>
    <t>酯争朝夕——国内首创 具身机器人自修复生物基聚氨酯仿生外皮</t>
  </si>
  <si>
    <t>积微成筑——新型3D打印混凝土材料开拓者</t>
  </si>
  <si>
    <t>淮安大学</t>
  </si>
  <si>
    <t>芯光凌云—工业气体红外双光谱AR追踪者</t>
  </si>
  <si>
    <t>国色天染——东方传统色彩消费格局拓新者</t>
  </si>
  <si>
    <t>定“阀”神针——特高压换流阀千级子模块智能速检引领者</t>
  </si>
  <si>
    <t>氢而易取-"特斯拉阀"耦合膜电极制氢技术领航者</t>
  </si>
  <si>
    <t>以碳达酯</t>
  </si>
  <si>
    <t>聚导新材——面向高频通信的新型超低介电聚酰亚胺材料</t>
  </si>
  <si>
    <t>片甲不漏——爆炸破片群三维重建与威力参数测量系统</t>
  </si>
  <si>
    <t>关节智行—新一代具身智能机器人关节引领者</t>
  </si>
  <si>
    <t>“华驱智控”——极微振动的磁悬浮传动系统</t>
  </si>
  <si>
    <t>柔盾御蚀——桥梁交通工程结构密封材料突破者</t>
  </si>
  <si>
    <t>高酶引擎——生物基高品质纤维素酶绿色制备领军者</t>
  </si>
  <si>
    <t>地脉守护者—综合管廊体系安全防护与智能抗灾新范式</t>
  </si>
  <si>
    <t>纤听海声——全球超高灵敏度光纤感知领军者</t>
  </si>
  <si>
    <t>高教主赛道本科生创意组8</t>
  </si>
  <si>
    <t>光禾晶能——量子点光热调控自生电玻璃</t>
  </si>
  <si>
    <t>博骨通精——骨科机器人新型智能精准配套产品的研发与应用</t>
  </si>
  <si>
    <t>触达未来——感算一体化智能传感领跑者</t>
  </si>
  <si>
    <t>种毒御防——禽病弱毒疫苗种毒研发领军者</t>
  </si>
  <si>
    <t>一听知肺-基于MEMS传感与知识蒸馏的便携式肺音采集分析装置</t>
  </si>
  <si>
    <t>南京审计大学</t>
  </si>
  <si>
    <t>移光智测——磁光精密检测与制造质量分析平台</t>
  </si>
  <si>
    <t>码到成功——面向智能集成装配的微小型千分级编码护航者</t>
  </si>
  <si>
    <t>一碳究竟——碳储量资源智能探测技术及产业化</t>
  </si>
  <si>
    <t>甜源智造——开启功能性糖的生物合成新时代</t>
  </si>
  <si>
    <t>醉有灵“悉”——点亮麻醉深度智能预测新“视”界</t>
  </si>
  <si>
    <t>万维智眸——突破边缘端功耗墙的超维智算芯片</t>
  </si>
  <si>
    <t>穹顶智焊——船舶复杂外板修复行业领军者</t>
  </si>
  <si>
    <t>痒消槲影——尿毒症瘙痒外用软膏创新先行者</t>
  </si>
  <si>
    <t>储能芯星——玉米芯高值转化助力钠电硬炭降本增效</t>
  </si>
  <si>
    <t>智鉴墙安——既有建筑外墙安全智能检测领航者</t>
  </si>
  <si>
    <t>江苏师范大学科文学院</t>
  </si>
  <si>
    <t>“清源科技”光催化降解选矿废水系统领航者</t>
  </si>
  <si>
    <t>污净奇用——引领养殖废污资源化处理</t>
  </si>
  <si>
    <t>盐城师范学院</t>
  </si>
  <si>
    <t>磁脉新生-精准纳米磁刺激治疗系统</t>
  </si>
  <si>
    <t>智声监测—高危承压设备声学监测预警系统开拓者</t>
  </si>
  <si>
    <t>膜盾——国内首款破解算力储能热失控的PEEK基高安全锂电池隔膜</t>
  </si>
  <si>
    <t>添饲良鸡——中药渣绿色替抗鸡用饲料添加剂引领者</t>
  </si>
  <si>
    <t>泓泰渔安——水产养殖水质与疫病现场快速检测领航者</t>
  </si>
  <si>
    <t>本科生创业组</t>
  </si>
  <si>
    <t>高教主赛道本科生创业组1</t>
  </si>
  <si>
    <t>芯明晶亮——国产高端半导体晶圆无损检测设备供应商</t>
  </si>
  <si>
    <t>久安防腐——防腐核心设备的中国方案</t>
  </si>
  <si>
    <t>数智兴渔--现代渔业全生命周期数智化赋能先行者</t>
  </si>
  <si>
    <t>碳索辊迹——MXene改性碳纤维辊轴助力高端制造降本增效</t>
  </si>
  <si>
    <t>智酵萃元——智能化果蔬发酵行业领跑者</t>
  </si>
  <si>
    <t>”核“察秋毫——前列腺癌精准诊断领航者</t>
  </si>
  <si>
    <t>测土有道—面向精准农业的仿生智能土壤传感器</t>
  </si>
  <si>
    <t>地探卫视——边坡预警系统助力民生安全</t>
  </si>
  <si>
    <t>节能卫士——AI智能电力综合优化专家</t>
  </si>
  <si>
    <t>智驱芯航——中等功率EC电机高效低扰智控创新者</t>
  </si>
  <si>
    <t>欣硕智眸——多气体红外成像抗干扰核心模组</t>
  </si>
  <si>
    <t>数智穹顶 云联安澜—云GIS赋能智慧水利新未来</t>
  </si>
  <si>
    <t>音你而愈——A I音乐疗愈赋能领航者</t>
  </si>
  <si>
    <t>南京晓庄学院</t>
  </si>
  <si>
    <t>通勤达锂—低算力乘用车级锂电管控先锋</t>
  </si>
  <si>
    <t>半夏艺术——LORA模型赋能品牌IP文创的探索者</t>
  </si>
  <si>
    <t>微瑕智诊——微瑕超声无损检测领军者</t>
  </si>
  <si>
    <t>冰复新生——超亲水纳米材料赋能新型细胞冻存</t>
  </si>
  <si>
    <t>以赛筑途——VEX赛场到名校的科创人才培养者</t>
  </si>
  <si>
    <t>苏州大学应用技术学院</t>
  </si>
  <si>
    <t>随激应变-航发关键构件激光增材制造质量监控者</t>
  </si>
  <si>
    <t>同轴共济——浅层地热相变储换一体化系统先行者</t>
  </si>
  <si>
    <t>见危知助——面向灾害一线的智能侦察与投送无人机</t>
  </si>
  <si>
    <t>常州大学怀德学院</t>
  </si>
  <si>
    <t>宇科电磁——超宽带阵列平面波测试系统先行者</t>
  </si>
  <si>
    <t>宏微驭动，精驱未来——半导体封装与偏光片贴合的中国精度</t>
  </si>
  <si>
    <t>高教主赛道本科生创业组2</t>
  </si>
  <si>
    <t>斜杠剧场——国内儿童戏剧美育引领者</t>
  </si>
  <si>
    <t>智起——为百万台存量起重机植入AI决策大脑</t>
  </si>
  <si>
    <t>酵醒—食药同源天然降脂新方案</t>
  </si>
  <si>
    <t>盐城工学院</t>
  </si>
  <si>
    <t>安舟科技——新能源农机开关磁阻电机先行者</t>
  </si>
  <si>
    <t>织造未来——纺织行业智能装备研发先行者</t>
  </si>
  <si>
    <t>极攀未来——全场景智能防腐运维系统领航者</t>
  </si>
  <si>
    <t>足智多谋——航天智能体漏洞对抗与修复系统</t>
  </si>
  <si>
    <t>固净百川——重大水利工程淤泥安全就地处置行业引领者</t>
  </si>
  <si>
    <t>玄杖和鸣——东西杖文化交融魔法文创项目</t>
  </si>
  <si>
    <t>韧芯智动--软硬协同轻量化机械臂平台</t>
  </si>
  <si>
    <t>智量无界-计量校准工装系列化创新解决方案</t>
  </si>
  <si>
    <t>磁御鲜锋——国内电磁耦合冷冻保鲜技术保“先”者</t>
  </si>
  <si>
    <t>锐洁凌云——面向高空幕墙全天候数智化清洗机器人</t>
  </si>
  <si>
    <t>物流新纪元——针对校园场景的智能物流配送</t>
  </si>
  <si>
    <t>洞察万相--全维度AI生成内容安全治理护航者</t>
  </si>
  <si>
    <t>希望之光——极端灾害机载激光应急通信系统</t>
  </si>
  <si>
    <t>瓷愈骨痊——血管化生物陶瓷产业化先行者</t>
  </si>
  <si>
    <t>智驭海疆—开启海上风电运维的无人化时代</t>
  </si>
  <si>
    <t>危化气体监测者</t>
  </si>
  <si>
    <t>驭险为安—AI赋能的SiC高可靠电动汽车电驱动系统</t>
  </si>
  <si>
    <t>明眸智鉴-面向海工制造业的安全监测护航者</t>
  </si>
  <si>
    <t>深海智械—高性能水下焊接设备引领者</t>
  </si>
  <si>
    <t>高教主赛道本科生创业组3</t>
  </si>
  <si>
    <t>起源时代——自进化算力生态的先行者</t>
  </si>
  <si>
    <t>聚桩成源——存量充电资源规模化柔性聚合运营领航者</t>
  </si>
  <si>
    <t>智冷“芯”光:多维散热光发射组件设计 重构AI算力网络体系</t>
  </si>
  <si>
    <t>智械进化-工业机器人高效数字训练领跑者</t>
  </si>
  <si>
    <t>苏州城市学院</t>
  </si>
  <si>
    <t>默宁新药——第四代MAO-B抑制剂的发现及产业化</t>
  </si>
  <si>
    <t>虾 筑 良 田 ： 木 槿 赋 能 ， 打 造 高 品 质 无 抗小 龙 虾</t>
  </si>
  <si>
    <t>“益”扫“幽”愁——源自中国百岁人群益生菌LP1Z的抗幽健康守护者</t>
  </si>
  <si>
    <t>淮阴师范学院</t>
  </si>
  <si>
    <t>酶创未来——国产固定化硫酸软骨素裂解酶智造开创者</t>
  </si>
  <si>
    <t>光映视界——RIS赋能的全场景沉浸式远程互动全息解决方案</t>
  </si>
  <si>
    <t>电芯卫士——电芯监测芯片国产化研发与应用</t>
  </si>
  <si>
    <t>鳞鸿科技——面向中小企业的工业数字工人</t>
  </si>
  <si>
    <t>常州工学院</t>
  </si>
  <si>
    <t>桃酿鲜生—一颗阳山桃，酿造乡村共富新路径</t>
  </si>
  <si>
    <t>以太智联——工业以太网通讯技术引领者</t>
  </si>
  <si>
    <t>归巢速运——数智化赋能售后逆向物流派送的开拓者</t>
  </si>
  <si>
    <t>司城智检——面向社区级城市体检的垂直模型与智能决策系统</t>
  </si>
  <si>
    <t>味启新生——天然低钠咸味剂创新引领者</t>
  </si>
  <si>
    <t>源智力——智慧水务pH智控设备创新者</t>
  </si>
  <si>
    <t>神筒广大——智能低损变径脱粒装备核心部件供应商</t>
  </si>
  <si>
    <t>电脉灵眸——开启高性能复合材料安伏母线配电方案新纪元</t>
  </si>
  <si>
    <t>“智巡哨兵”——配电系统的预警先锋</t>
  </si>
  <si>
    <t>精喷智覆强韧-航天关键部件多工艺强化修复技术及产业化应用</t>
  </si>
  <si>
    <t>粘接未来——开拓电池级CMC粘结剂新纪元</t>
  </si>
  <si>
    <t>南京财经大学</t>
  </si>
  <si>
    <t>行稳智远——丘陵山区新型轮式智能调平底盘引领者</t>
  </si>
  <si>
    <t>研究生创意组</t>
  </si>
  <si>
    <t>高教主赛道研究生创意组1</t>
  </si>
  <si>
    <t>声引深蓝——打造水声智能引信“隐形冠军”</t>
  </si>
  <si>
    <t>“氚”破瓶颈-引领氚水精馏分离新时代</t>
  </si>
  <si>
    <t>智溶环——面向绿色生态农业的淀粉基生物农药原料重构者</t>
  </si>
  <si>
    <t>比特未来——构建新时代智能通信范式</t>
  </si>
  <si>
    <t>储类拔萃-结构功能一体化行业开拓者</t>
  </si>
  <si>
    <t>盲区哨兵-矿井隐蔽空间灾害智能监测装备领航者</t>
  </si>
  <si>
    <t>钨动未来——激光熔覆强韧钨基合金助力核安全发展</t>
  </si>
  <si>
    <t>“犊”家秘方——草本精研守护牧场未来</t>
  </si>
  <si>
    <t>智造本草 光启未来 ——生物智造引领光甘草定新纪元</t>
  </si>
  <si>
    <t>智脑光驱</t>
  </si>
  <si>
    <t>芯测精研——面向ATE应用的国产高速高精度时序生成芯片</t>
  </si>
  <si>
    <t>星途有芯——服务算力星座的宇航级高可靠高能效天算芯片</t>
  </si>
  <si>
    <t>洞若观肺——基于多靶点的肺腺癌分子影像智能筛查</t>
  </si>
  <si>
    <t>匠心孔铸 放电-电解无伤智造开创者</t>
  </si>
  <si>
    <t>胶相辉映—太阳能电池全光谱增益胶膜开拓者</t>
  </si>
  <si>
    <t>束能领航——航空发动机关键构件脉冲电子束表面强化技术开拓者</t>
  </si>
  <si>
    <t>高教主赛道研究生创意组2</t>
  </si>
  <si>
    <t>波察秋毫—深部岩体动力灾害全息预警引领者</t>
  </si>
  <si>
    <t>深蓝心脂——高纯度鱼油结构脂生物制造领先者</t>
  </si>
  <si>
    <t>植保减药促新质</t>
  </si>
  <si>
    <t>“晶”雕细造-先进芯片精细沟道的破局者</t>
  </si>
  <si>
    <t>口服心服-全球首创线粒体无创递送，开启慢性心衰能量治疗新范式</t>
  </si>
  <si>
    <t>反向探月——万米超深井预警堵漏领域领航者</t>
  </si>
  <si>
    <t>穹宇拓光——面向空天的柔性叠层电池界面调控技术领航者</t>
  </si>
  <si>
    <t>光影智绘——无标记活细胞全景成像技术领航者</t>
  </si>
  <si>
    <t>越影-面向态势感知的多维光学成像</t>
  </si>
  <si>
    <t>淋危不惧——细胞疗法引领T淋巴细胞肿瘤创新治疗新纪元</t>
  </si>
  <si>
    <t>智隧千里—软弱地层盾构隧道安全高效智能掘进的开拓者</t>
  </si>
  <si>
    <t>瞬影科技-光计算驱动的实时图像压缩与复原方案</t>
  </si>
  <si>
    <t>视界王座——全域战场视觉基座开拓者</t>
  </si>
  <si>
    <t>天穹之窗——透明阵列通信技术领航者</t>
  </si>
  <si>
    <t>光御未来——新一代柔性显示用半导体光刻胶</t>
  </si>
  <si>
    <t>高教主赛道研究生创意组3</t>
  </si>
  <si>
    <t>耕耘天下——耕整地机械关键入土部件国产化开拓者</t>
  </si>
  <si>
    <t>智战领航——未来零先验作战智能引领者</t>
  </si>
  <si>
    <t>无感睡眠护盾—医疗级睡眠健康管理系统</t>
  </si>
  <si>
    <t>煤岩精分——煤岩显微组分分离装备领航者</t>
  </si>
  <si>
    <t>优稻芯——粒粒稻种，引领百亿控糖市场新变革</t>
  </si>
  <si>
    <t>海“油”泵发—深海油气超高压输运装备国产化方案</t>
  </si>
  <si>
    <t>智构析微—AI解码脂质纳米粒微结构定义mRNA递送中国方案</t>
  </si>
  <si>
    <t>中国药科大学</t>
  </si>
  <si>
    <t>信达天下——5G-A通感一体物理层内生安全认证系统领创者</t>
  </si>
  <si>
    <t>绘显未来——面向新型显示制造的“全新一代”光刻胶</t>
  </si>
  <si>
    <t>“纯”中国芯——sProteinA Pro 开创抗体纯化应用新纪元</t>
  </si>
  <si>
    <t>一聚多得——多功能ε-聚赖氨酸生物制造领航者</t>
  </si>
  <si>
    <t>信至无隅——电磁积木赋能移动通信低成本全域覆盖增强</t>
  </si>
  <si>
    <t>光铸铌芯-全球首创全三维纳米级激光加工平台</t>
  </si>
  <si>
    <t>医不容磁——核磁兼容诊疗器械专用无磁压电电机</t>
  </si>
  <si>
    <t>空巡翼联——异构无人机集群自主协同系统</t>
  </si>
  <si>
    <t>慧聚良田——高标准农田智慧运营引领者</t>
  </si>
  <si>
    <t>研究生创业组</t>
  </si>
  <si>
    <t>高教主赛道研究生创业组1</t>
  </si>
  <si>
    <t>风云芯——超精细化商业气象智能中台</t>
  </si>
  <si>
    <t>CIR “节”尽所能— 国内首创催化式红外精准能效干燥装备</t>
  </si>
  <si>
    <t>纤有灵犀——一种可织造传感纤维</t>
  </si>
  <si>
    <t>“降”心独运——癌症治疗新一代偶联药物领航者</t>
  </si>
  <si>
    <t>火漫-鼎楷智影-AIGC 全流程国风漫剧智能创作与审校系统</t>
  </si>
  <si>
    <t>青赋驭境-全球领先的全栈自研轻量化工业级智能机械臂</t>
  </si>
  <si>
    <t>穗盾——小麦赤霉病控病控毒飞防增效剂</t>
  </si>
  <si>
    <t>金其节能——高端隔热与节能领域赋能者</t>
  </si>
  <si>
    <t>碧海蓝涂-绿色船舶无铜防污染涂料制造商</t>
  </si>
  <si>
    <t>智途新生——交通基础设施材料AI智能设计开拓者</t>
  </si>
  <si>
    <t>飞咔</t>
  </si>
  <si>
    <t>驭能智充--飞轮动能驱动的闪充站生态</t>
  </si>
  <si>
    <t>高教主赛道研究生创业组2</t>
  </si>
  <si>
    <t>护盾王者——新一代气凝胶电池隔热片先行者</t>
  </si>
  <si>
    <t>鸽源肽益——全国首家鸽肽食品供应商</t>
  </si>
  <si>
    <t>智影随行——高性价比便携X光高压发生器先行者</t>
  </si>
  <si>
    <t>轰灵焕新——AI驱动的城市公共空间在地运营平台</t>
  </si>
  <si>
    <t>天枢智网—“云机协同”的城市级低空空管平台</t>
  </si>
  <si>
    <t>宠获新生——用温暖守护生命的每一次轮回</t>
  </si>
  <si>
    <t>无垠——AI驱动的新一代VR全向健康运动平台</t>
  </si>
  <si>
    <t>天枢智能——面向海上可移动平台的中国平衡方案</t>
  </si>
  <si>
    <t>交感智能-多模态脑功能障碍快筛系统</t>
  </si>
  <si>
    <t>无胁可击——政企单位网络的最可靠全域守护者</t>
  </si>
  <si>
    <t>风电之眼——风电装备无人机智慧巡检运维服务商</t>
  </si>
  <si>
    <t>扬州工业职业技术学院</t>
  </si>
  <si>
    <t>红旅赛道</t>
  </si>
  <si>
    <t>公益组(高职项目)</t>
  </si>
  <si>
    <t>红旅赛道公益组1</t>
  </si>
  <si>
    <t>苏州健雄职业技术学院</t>
  </si>
  <si>
    <t>江苏航运职业技术学院</t>
  </si>
  <si>
    <t>南京铁道职业技术学院</t>
  </si>
  <si>
    <t>江苏城市职业学院</t>
  </si>
  <si>
    <t>公益组</t>
  </si>
  <si>
    <t>英护安澜——蒲公英公益赋能青少年应急教育向阳而行</t>
  </si>
  <si>
    <t>心安吾港——三维协同赋能香港青少年中华文化认同引领者</t>
  </si>
  <si>
    <t>味传四海——以中餐推动中华文化走向世界</t>
  </si>
  <si>
    <t>肾迹寻踪：罕见肾脏病公益早筛与全程管理先锋</t>
  </si>
  <si>
    <t>独而不孤： 阶梯赋能体系下失独老人生命叙事的十年探索</t>
  </si>
  <si>
    <t>翼心衣意——新时代无障碍服饰公益守护者</t>
  </si>
  <si>
    <t>红旅赛道公益组2</t>
  </si>
  <si>
    <t>江苏农牧科技职业学院</t>
  </si>
  <si>
    <t>法润非遗——法治护航非遗文化传承与发展行动</t>
  </si>
  <si>
    <t>壁上千秋——AI赋能流失海外古壁画“回家”公益行动</t>
  </si>
  <si>
    <t>电商小先生-为乡村培养留得住、带得动、做得成的青年运营人才</t>
  </si>
  <si>
    <t>“让记忆回家”——两岸共同抗战记忆口述史项目</t>
  </si>
  <si>
    <t>“援”缘不断——AI赋能大学生法律援藏</t>
  </si>
  <si>
    <t>江苏财经职业技术学院</t>
  </si>
  <si>
    <t>创意组(高职项目)</t>
  </si>
  <si>
    <t>红旅赛道创意组1</t>
  </si>
  <si>
    <t>江苏工程职业技术学院</t>
  </si>
  <si>
    <t>创意组</t>
  </si>
  <si>
    <t>草丰牧兴—沙活素唤醒退化草原 点亮牧民共富路</t>
  </si>
  <si>
    <t>绿色惠农--柔性光伏构建乡村生产新模式</t>
  </si>
  <si>
    <t>“瓜”目相看-科技赋能乡村振 兴的甜蜜事业</t>
  </si>
  <si>
    <t>识禾穗丰——赋能粮农应对臭氧污染收益保障系统</t>
  </si>
  <si>
    <t>智御冰险——筑牢寒区凌汛安全防线的数智哨兵</t>
  </si>
  <si>
    <t>瓷琢丹青 传世匠心--国家级非物质文化遗产大丰瓷刻技艺的革新者</t>
  </si>
  <si>
    <t>盐城工业职业技术学院</t>
  </si>
  <si>
    <t>文脉启甦·兴村营城——民族互嵌文化遗产助力城乡融合发展</t>
  </si>
  <si>
    <t>槽创智冷——国内母线槽智能温测一体液冷技术开创者</t>
  </si>
  <si>
    <t>镇江市高等专科学校</t>
  </si>
  <si>
    <t>红旅赛道创意组2</t>
  </si>
  <si>
    <t>炭循新生-以农业固废炭化新模 式，点亮乡村绿色固碳新经济</t>
  </si>
  <si>
    <t>“点废成金”以微膜靶向堆肥技术筑牢乡村绿色共富路</t>
  </si>
  <si>
    <t>收稻勤来——打造丘陵机收破局新引擎、重塑粮食减损增收新格局</t>
  </si>
  <si>
    <t>新疆棉杆有点甜</t>
  </si>
  <si>
    <t>肺影菌衡——肺结节精准筛诊赋能基层肺健康</t>
  </si>
  <si>
    <t>菌衡牧壮——饲草提质菌剂，赋能生态养殖</t>
  </si>
  <si>
    <t>老佑所依——AI陪伴机器人焕新城乡社区智慧养老</t>
  </si>
  <si>
    <t>江苏经贸职业技术学院</t>
  </si>
  <si>
    <t>融灰成器——沿黄老工业城市粉煤灰治理转型新方案</t>
  </si>
  <si>
    <t>浩淼智航——以数智赋能，推动水产养殖转型升级</t>
  </si>
  <si>
    <t>星瞰丰穰——为农业灾害监测装上“智能眼”</t>
  </si>
  <si>
    <t>苏鲀入粤－－低温全雌河鲀打造苏粤共富新产业</t>
  </si>
  <si>
    <t>防患微燃——小型消防巡检机器人先行者</t>
  </si>
  <si>
    <t>江苏建筑职业技术大学</t>
  </si>
  <si>
    <t>一纸江南 ——苏派剪纸创新传承与乡土文化振兴计划</t>
  </si>
  <si>
    <t>江苏电子信息职业学院</t>
  </si>
  <si>
    <t>一“碳”究“净”——助力乡村生态振兴的养殖废水低碳智能一体化治理方案</t>
  </si>
  <si>
    <t>同甘共济——打造凝“芯”聚力致富路</t>
  </si>
  <si>
    <t>云瞰彭城智游七里——沉浸式数字文旅赋能城市更新引领者</t>
  </si>
  <si>
    <t>徐州工业职业技术学院</t>
  </si>
  <si>
    <t>植此青绿</t>
  </si>
  <si>
    <t>膜守黄河“几字弯” ——沙漠气候下的生物基沙地专用兴农地膜</t>
  </si>
  <si>
    <t>红旅赛道创意组3</t>
  </si>
  <si>
    <t>漠上耘车——科技驱动绿进沙退，青年筑梦绿色边疆</t>
  </si>
  <si>
    <t>田管家—“育-插-管”一体化方案赋能丘陵水稻增产增收</t>
  </si>
  <si>
    <t>融慧灌通——农田灌溉新引擎：智慧决策系统助力高标准农田提质增效</t>
  </si>
  <si>
    <t>沐守长者—科技助残赋能城乡社区失能长者尊严助浴服务</t>
  </si>
  <si>
    <t>常州纺织服装职业技术学院</t>
  </si>
  <si>
    <t>龙韵狮风——数智领航的龙狮舞出海新范式</t>
  </si>
  <si>
    <t>滴水识毒—让污水说话，让毒情现形</t>
  </si>
  <si>
    <t>知时牧草——基于AI与多源数据的人工牧草农业气象解决方案</t>
  </si>
  <si>
    <t>智启残岗·政企协同：残疾人高质量就业“人岗智配”服务新范式</t>
  </si>
  <si>
    <t>精影卫肠——AI乡村肠癌诊断者</t>
  </si>
  <si>
    <t>莓满万家——优技赋能的蓝莓新境</t>
  </si>
  <si>
    <t>“镁”利牧场——新型舔砖助力牧民致富新希望</t>
  </si>
  <si>
    <t>聚竹兴乡</t>
  </si>
  <si>
    <t>纤丝绣梦——千年发绣活态传承 东方美学走向世界</t>
  </si>
  <si>
    <t>藻福水产 “优藻 · 益菌 · 絮团”守护一尾苗，破解三道关</t>
  </si>
  <si>
    <t>蛋鸡福星——做老龄蛋鸡益生菌的开拓者</t>
  </si>
  <si>
    <t>江苏农林职业技术学院</t>
  </si>
  <si>
    <t>万纤织就乡水情——引菌回巢化浊为清，做西北净水“守村人”</t>
  </si>
  <si>
    <t>海智牧联—国内首个肉牛产业数据资产化运营服务商，打造中西部智慧牧业新范式</t>
  </si>
  <si>
    <t>创业组</t>
  </si>
  <si>
    <t>红旅赛道创业组1</t>
  </si>
  <si>
    <t>智存糕远</t>
  </si>
  <si>
    <t>“羊”光大道—育中国湖羊,兴农牧华章</t>
  </si>
  <si>
    <t>创业组(高职项目)</t>
  </si>
  <si>
    <t>针不戳 —智能苏绣演艺戏服织就乡村致富路</t>
  </si>
  <si>
    <t>苏州农业职业技术学院</t>
  </si>
  <si>
    <t>守千年石色 续华夏丹青</t>
  </si>
  <si>
    <t>矿海电气——农村配电网电压智能稳控守护者</t>
  </si>
  <si>
    <t>狮耀红壤・数启薪传——黄沙狮子非遗数字化赋能乡村共富项目</t>
  </si>
  <si>
    <t>常州工业职业技术学院</t>
  </si>
  <si>
    <t>甜源广进——以生物质绿色科技铺设从田间到油藏的兴旺之路</t>
  </si>
  <si>
    <t>鹞鸣四海——板鹞风筝非遗活态传承的新生代推动者</t>
  </si>
  <si>
    <t>沃润农业——全程农业生产托管服务领航者</t>
  </si>
  <si>
    <t>鸢尾花开处——一棵中国苗，漫开中国花</t>
  </si>
  <si>
    <t>芯起点——点亮少年芯梦想，筑基中国芯未来</t>
  </si>
  <si>
    <t>未晚——面向阿尔茨海默病的早筛新范式</t>
  </si>
  <si>
    <t>钳言万语——国内首个水下机器人自适应监测与大闸蟹智慧投喂解决方案</t>
  </si>
  <si>
    <t>黔途映初心——苗乡农文旅融合振兴践行者</t>
  </si>
  <si>
    <t>古丽花开——新疆民族品质糕点领军者</t>
  </si>
  <si>
    <t>“肽”平年——光谱科技焕新蜗牛产业高值共富路</t>
  </si>
  <si>
    <t>持脂以恒——长效注射剂用脂质平台的定制先锋</t>
  </si>
  <si>
    <t>产业赛道</t>
  </si>
  <si>
    <t>企业命题组-产教协同创新组</t>
  </si>
  <si>
    <t>产业赛道企业命题组-产教协同创新组1</t>
  </si>
  <si>
    <t>驭光弈星---光控引擎决胜深空机动攻防</t>
  </si>
  <si>
    <t>精准联检-多重PCR技术领跑者</t>
  </si>
  <si>
    <t>智盾筑防—重要目标电磁安全守护者</t>
  </si>
  <si>
    <t>束联新材-高性能钛钢复合板先进制造技术</t>
  </si>
  <si>
    <t>芯纹模安—芯片指纹驱动的端侧AI安全卫士</t>
  </si>
  <si>
    <t>发动机智能复材构件精确成形技术</t>
  </si>
  <si>
    <t>诚相科技-光学成像赋能电极材料智能检测平台</t>
  </si>
  <si>
    <t>耳域密钥：动态耳声纹赋能无感认证与听觉健康双模系统</t>
  </si>
  <si>
    <t>低渗透油藏控窜聚合物微球智能研发与工业化实践</t>
  </si>
  <si>
    <t>恒器新程——边缘供肝离体保存生物干预综合解决方案研发</t>
  </si>
  <si>
    <t>埃芯微触——高性能抗干扰多维力触觉指尖</t>
  </si>
  <si>
    <t>织星缀宇——高精度大口径柔性拓扑天线网针织先锋</t>
  </si>
  <si>
    <t>极智精准——视电共融超高精超视距全息感知拓荒者</t>
  </si>
  <si>
    <t>“绿氨新纤”——破局石化依赖，引领生物基氨纶新未来</t>
  </si>
  <si>
    <t>“氢”擎科技—面向AEMWE高稳定性膜电极设计</t>
  </si>
  <si>
    <t>产业赛道企业命题组-产教协同创新组2</t>
  </si>
  <si>
    <t>混天绫-捕获离轨系统研究</t>
  </si>
  <si>
    <t>氢镁煮酒——石化绿色甲醇领航者</t>
  </si>
  <si>
    <t>适用于极端环境特高压绝缘子表面多尺度处理增强技术</t>
  </si>
  <si>
    <t>界面造势高压异质结功率器件</t>
  </si>
  <si>
    <t>脑复新生--基于PARP7靶点的脑卒中新药研发</t>
  </si>
  <si>
    <t>风语者-沙戈荒大型风电基地多智能体协同优化设计系统</t>
  </si>
  <si>
    <t>东风破-废弃火炸药的军民双维度资源化利用领航者</t>
  </si>
  <si>
    <t>灵驭智驱——助力矿山运输降本增效的智能线控底盘</t>
  </si>
  <si>
    <t>天擎热验——面向高超声速飞行推进系统的热管理验证技术</t>
  </si>
  <si>
    <t>千钧擎云——消防云梯全生命周期结构安全智能管控技术</t>
  </si>
  <si>
    <t>深海光芯——面向深海机械臂的光纤具身智能感知系统研发</t>
  </si>
  <si>
    <t>推芯智赋—AIoT驱动的异构算网融合节能系统平台</t>
  </si>
  <si>
    <t>基于超分子包合技术的改性稀土复合材料抗菌抗病毒助剂</t>
  </si>
  <si>
    <t>清氧入纤—创新靶点口服小分子减重候选药物开发</t>
  </si>
  <si>
    <t>产业赛道企业命题组-产教协同创新组3</t>
  </si>
  <si>
    <t>本安科技--柔性水系锌离子电池领航者</t>
  </si>
  <si>
    <t>智能护桥-长大桥梁多维度防船撞安全防控技术</t>
  </si>
  <si>
    <t>电化革新—高纯电子级双氧水绿色安全新工艺的领航员</t>
  </si>
  <si>
    <t>欧立星OligoSpark——自主原研高性能RNA转染试剂</t>
  </si>
  <si>
    <t>束造复材-复合板电子束精控制备开创者</t>
  </si>
  <si>
    <t>千态晶存：驱动新质算力的超高密度存储器</t>
  </si>
  <si>
    <t>定巷神针——深部巷道冲击动载精准调控解决方案</t>
  </si>
  <si>
    <t>光驭长空——航空装备智能激光表面处理一体化装备</t>
  </si>
  <si>
    <t>穹甲启“以甲护芯，向穹而开”面向航天极端环境的高可靠整流罩分离与防护技术</t>
  </si>
  <si>
    <t>刚柔并济---面向深层及超深层油气开发的高端油套管国产化领航者</t>
  </si>
  <si>
    <t>链路塑形 空天地复杂环境全域测试引擎</t>
  </si>
  <si>
    <t>矿安智巡——面向复杂井下场景的鲁棒定位与智能巡检系统</t>
  </si>
  <si>
    <t>极域韧盾--高寒高海拔地区水利工程橡胶改性沥青抗渗材料技术与应用方案</t>
  </si>
  <si>
    <t>面向航空航天非结构化装配的高柔顺人机协作机器人控制系统关键技术研发</t>
  </si>
  <si>
    <t>企业命题组-区域特色产业组</t>
  </si>
  <si>
    <t>产业赛道企业命题组-区域软件组1</t>
  </si>
  <si>
    <t>深蓝驭航——近海测绘无人船高精度运动控制引领者</t>
  </si>
  <si>
    <t>驭稳智枢：高集成EMB开创智能汽车全电制稳新时代</t>
  </si>
  <si>
    <t>融适引擎：国产操作系统跨生态兼容中间件</t>
  </si>
  <si>
    <t>企业命题组-国产操作系统软件组</t>
  </si>
  <si>
    <t>海上风电机组故障诊断、预警与运维决策系统</t>
  </si>
  <si>
    <t>Ascend Kernel算子生成测试优化的迭代演进系统</t>
  </si>
  <si>
    <t>川流芯赴 ——MicroLED流体转移智能监控与质量评估系统开发</t>
  </si>
  <si>
    <t>智油双全—新一代非常规油气智能化开发方案领航者</t>
  </si>
  <si>
    <t>高效率氮化镓智能动力路由器关键技术及应用</t>
  </si>
  <si>
    <t>绒耀登峰——面向高端羽绒质量AI智驱鉴定与快速分级系统</t>
  </si>
  <si>
    <t>固热金汤——面向动力电池热防护的硅酸盐气凝胶领军者</t>
  </si>
  <si>
    <t>纳宠安牧——兽用精准抗感染与协同修复方案</t>
  </si>
  <si>
    <t>航力镓倍——氮化镓电源模块在无人机中的应用</t>
  </si>
  <si>
    <t>智路迅析-车联网全域感知的智慧终端领军者</t>
  </si>
  <si>
    <t>慧测智远-新能源汽车电控软件国产化开发测试平台领跑者</t>
  </si>
  <si>
    <t>神“机”妙算-高温关键装备长寿命高可靠运行守护者</t>
  </si>
  <si>
    <t>枢衡智驭—面向政企交通治理场景的智慧交通AI决策引擎创新与应用</t>
  </si>
  <si>
    <t>脉演析芯-基于量子传感的芯片故障诊断系统</t>
  </si>
  <si>
    <t>微界御热——极端热环境用超薄柔性隔热材料</t>
  </si>
  <si>
    <t>面向极端海况的高可靠性高等级系泊锚链智能焊接关键技术</t>
  </si>
  <si>
    <t>料到冰除——冰雪天气道路安全守护者</t>
  </si>
  <si>
    <t>成果转化组</t>
  </si>
  <si>
    <t>产业赛道成果转化组1</t>
  </si>
  <si>
    <t>碳合新能——下一代绿色燃料核心引领者</t>
  </si>
  <si>
    <t>海缆智析——大容量柔性直流海缆载流量预测技术</t>
  </si>
  <si>
    <t>点泥成材——淤泥软土原位绿色再生领航者</t>
  </si>
  <si>
    <t>菌来药挡——超级抗生素开发的中国范式领航者</t>
  </si>
  <si>
    <t>国芯创联——面向宽禁带功率半导体的低成本、高可靠封装互连解决方案</t>
  </si>
  <si>
    <t>田间培力计划“打通田间最后一公里”： 新质生产力赋能下的全链条突围</t>
  </si>
  <si>
    <t>净乙求精-聚酯级乙二醇加氢提质模组开拓者</t>
  </si>
  <si>
    <t>纤塑领航-连续纤维增强热塑性复合材料大压注成型</t>
  </si>
  <si>
    <t>原子级制造-气体团簇离子束装备的自主研发与产业化</t>
  </si>
  <si>
    <t>曦和量子——新型电力系统市场交易出清的量子智能引擎</t>
  </si>
  <si>
    <t>智眸双芯-基于双窄带滤光片的高精度生物识别与智能防伪</t>
  </si>
  <si>
    <t>微丝递量——丝素蛋白微针给药平台</t>
  </si>
  <si>
    <t>产业赛道成果转化组2</t>
  </si>
  <si>
    <t>免疫方舟——专注HPV治疗性疫苗的研发与转化</t>
  </si>
  <si>
    <t>高质丝杠—精研中国关节，赋能人形未来</t>
  </si>
  <si>
    <t>膜创未来-面向有机溶剂脱水的分子筛膜开发及产业化应用</t>
  </si>
  <si>
    <t>菌筑国芯-中国本土益生菌的资源库构建与产业化落地</t>
  </si>
  <si>
    <t>安澜泽利——一带一路水利设施数字孪生监控预警系统</t>
  </si>
  <si>
    <t>“镓”破天穹—新一代抗辐照氮化镓功率器件引领者</t>
  </si>
  <si>
    <t>觅靶抑瘤——新型靶标解析与原创抗肿瘤药物创制</t>
  </si>
  <si>
    <t>硼启新源‑高性能硼化物固态电解质及其产业化应用</t>
  </si>
  <si>
    <t>熔流优驭——做中国高端熔盐泵技术的领军者</t>
  </si>
  <si>
    <t>火眼金睛-高炉炉前数智化作业领创者</t>
  </si>
  <si>
    <t>储安科技——面向复杂工况的储能电站早期预警开拓者</t>
  </si>
  <si>
    <t>IStent—全球首创自膨式可载粒子腔道支架</t>
  </si>
  <si>
    <t>https://jspitcm.woczx.com/event/eventscort/150</t>
  </si>
  <si>
    <t>https://jspitcm.woczx.com/event/eventscort/151</t>
  </si>
  <si>
    <t>https://jspitcm.woczx.com/event/eventscort/152</t>
  </si>
  <si>
    <t>https://jspitcm.woczx.com/event/eventscort/135</t>
  </si>
  <si>
    <t>https://jspitcm.woczx.com/event/eventscort/136</t>
  </si>
  <si>
    <r>
      <t>进入</t>
    </r>
    <r>
      <rPr>
        <sz val="11"/>
        <rFont val="Carlito"/>
        <charset val="134"/>
      </rPr>
      <t>5</t>
    </r>
    <r>
      <rPr>
        <sz val="11"/>
        <rFont val="宋体"/>
        <charset val="134"/>
      </rPr>
      <t>个网页（按顺序），然后选择“按得分高低顺序”按钮。接着复制网页比赛得分列表全部内容，到“手动更新”子表，按列顺序粘贴（全选那一列），然后“展示”子表数据就会自动更新。</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</si>
</sst>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name val="Carlito"/>
      <charset val="134"/>
    </font>
    <font>
      <u/>
      <sz val="11"/>
      <color rgb="FF0000FF"/>
      <name val="Calibri"/>
      <charset val="0"/>
      <scheme val="minor"/>
    </font>
    <font>
      <sz val="11"/>
      <name val="宋体"/>
      <charset val="134"/>
    </font>
    <font>
      <i/>
      <sz val="9"/>
      <color rgb="FF666666"/>
      <name val="Arial"/>
      <charset val="134"/>
    </font>
    <font>
      <b/>
      <sz val="10"/>
      <color rgb="FFFFFFFF"/>
      <name val="Arial"/>
      <charset val="134"/>
    </font>
    <font>
      <sz val="10"/>
      <color rgb="FF222222"/>
      <name val="Arial"/>
      <charset val="134"/>
    </font>
    <font>
      <sz val="10.5"/>
      <color rgb="FFFFFFFF"/>
      <name val="PingFangSC-Medium"/>
      <charset val="134"/>
    </font>
    <font>
      <sz val="10.5"/>
      <color rgb="FF3D3F46"/>
      <name val="PingFangSC-Regular"/>
      <charset val="134"/>
    </font>
    <font>
      <b/>
      <sz val="10.5"/>
      <color rgb="FF3D3F46"/>
      <name val="DINAlternate-Bold"/>
      <charset val="134"/>
    </font>
    <font>
      <sz val="10.5"/>
      <color rgb="FF666666"/>
      <name val="SourceHanSansCN-Regular"/>
      <charset val="134"/>
    </font>
    <font>
      <sz val="12"/>
      <name val="黑体"/>
      <charset val="134"/>
    </font>
    <font>
      <sz val="12"/>
      <name val="仿宋_GB2312"/>
      <charset val="134"/>
    </font>
    <font>
      <sz val="12"/>
      <name val="方正小标宋简体"/>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theme="4"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FFFFFF"/>
      </left>
      <right style="thin">
        <color rgb="FFFFFFFF"/>
      </right>
      <top style="thin">
        <color rgb="FFFFFFFF"/>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5"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6" borderId="5" applyNumberFormat="0" applyAlignment="0" applyProtection="0">
      <alignment vertical="center"/>
    </xf>
    <xf numFmtId="0" fontId="22" fillId="7" borderId="6" applyNumberFormat="0" applyAlignment="0" applyProtection="0">
      <alignment vertical="center"/>
    </xf>
    <xf numFmtId="0" fontId="23" fillId="7" borderId="5" applyNumberFormat="0" applyAlignment="0" applyProtection="0">
      <alignment vertical="center"/>
    </xf>
    <xf numFmtId="0" fontId="24" fillId="8"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0" fillId="0" borderId="0"/>
  </cellStyleXfs>
  <cellXfs count="16">
    <xf numFmtId="0" fontId="0" fillId="0" borderId="0" xfId="49"/>
    <xf numFmtId="0" fontId="1" fillId="0" borderId="0" xfId="6"/>
    <xf numFmtId="0" fontId="2" fillId="0" borderId="0" xfId="49" applyFont="1"/>
    <xf numFmtId="0" fontId="3" fillId="0" borderId="0" xfId="49" applyNumberFormat="1" applyFont="1" applyFill="1" applyBorder="1" applyAlignment="1">
      <alignment vertical="center"/>
    </xf>
    <xf numFmtId="0" fontId="4" fillId="2" borderId="1" xfId="49" applyNumberFormat="1" applyFont="1" applyFill="1" applyBorder="1" applyAlignment="1">
      <alignment horizontal="center" vertical="center" wrapText="1"/>
    </xf>
    <xf numFmtId="0" fontId="5" fillId="0" borderId="0" xfId="49" applyNumberFormat="1" applyFont="1" applyFill="1" applyBorder="1" applyAlignment="1">
      <alignment horizontal="left" vertical="center" wrapText="1"/>
    </xf>
    <xf numFmtId="0" fontId="5" fillId="0" borderId="0" xfId="49" applyNumberFormat="1" applyFont="1" applyFill="1" applyBorder="1" applyAlignment="1">
      <alignment horizontal="center" vertical="center" wrapText="1"/>
    </xf>
    <xf numFmtId="1" fontId="5" fillId="0" borderId="0" xfId="49" applyNumberFormat="1"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vertical="center"/>
      <extLst>
        <ext xmlns:etc="http://www.wps.cn/officeDocument/2017/etCustomData" uri="{F19249F5-4A6E-446B-B59F-E2C9F2DAA1D5}">
          <etc:displayText val="2"/>
        </ext>
      </extLst>
    </xf>
    <xf numFmtId="0" fontId="8" fillId="0" borderId="0" xfId="0" applyFont="1" applyAlignment="1">
      <alignment horizontal="center" vertical="center" wrapText="1"/>
    </xf>
    <xf numFmtId="0" fontId="9" fillId="0" borderId="0" xfId="0" applyFont="1" applyAlignment="1">
      <alignment horizontal="right" vertical="center" wrapText="1"/>
    </xf>
    <xf numFmtId="0" fontId="10" fillId="0" borderId="0" xfId="49" applyFont="1" applyAlignment="1">
      <alignment horizontal="center" vertical="center"/>
    </xf>
    <xf numFmtId="0" fontId="11" fillId="0" borderId="0" xfId="49" applyFont="1" applyAlignment="1">
      <alignment horizontal="center" vertical="center"/>
    </xf>
    <xf numFmtId="0" fontId="12" fillId="3" borderId="0" xfId="49" applyFont="1" applyFill="1" applyAlignment="1">
      <alignment horizontal="center" vertical="center"/>
    </xf>
    <xf numFmtId="0" fontId="12" fillId="4" borderId="0" xfId="49" applyFont="1" applyFill="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oadshowOrderTable" displayName="RoadshowOrderTable" ref="A2:F503" totalsRowShown="0">
  <autoFilter xmlns:etc="http://www.wps.cn/officeDocument/2017/etCustomData" ref="A2:F503" etc:filterBottomFollowUsedRange="0"/>
  <tableColumns count="6">
    <tableColumn id="2" name="项目名称"/>
    <tableColumn id="1" name="学校名称"/>
    <tableColumn id="3" name="参赛赛道"/>
    <tableColumn id="4" name="参赛组别"/>
    <tableColumn id="5" name="路演项目组"/>
    <tableColumn id="6" name="答辩顺序"/>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5" Type="http://schemas.openxmlformats.org/officeDocument/2006/relationships/hyperlink" Target="https://jspitcm.woczx.com/event/eventscort/136" TargetMode="External"/><Relationship Id="rId4" Type="http://schemas.openxmlformats.org/officeDocument/2006/relationships/hyperlink" Target="https://jspitcm.woczx.com/event/eventscort/135" TargetMode="External"/><Relationship Id="rId3" Type="http://schemas.openxmlformats.org/officeDocument/2006/relationships/hyperlink" Target="https://jspitcm.woczx.com/event/eventscort/152" TargetMode="External"/><Relationship Id="rId2" Type="http://schemas.openxmlformats.org/officeDocument/2006/relationships/hyperlink" Target="https://jspitcm.woczx.com/event/eventscort/151" TargetMode="External"/><Relationship Id="rId1" Type="http://schemas.openxmlformats.org/officeDocument/2006/relationships/hyperlink" Target="https://jspitcm.woczx.com/event/eventscort/15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8"/>
  <sheetViews>
    <sheetView zoomScale="70" zoomScaleNormal="70" workbookViewId="0">
      <selection activeCell="B26" sqref="B26"/>
    </sheetView>
  </sheetViews>
  <sheetFormatPr defaultColWidth="8.5" defaultRowHeight="15.75"/>
  <cols>
    <col min="1" max="1" width="22.75" style="13" customWidth="1"/>
    <col min="2" max="2" width="69.4416666666667" style="13" customWidth="1"/>
    <col min="3" max="4" width="6.44166666666667" style="13" customWidth="1"/>
    <col min="5" max="5" width="22.75" style="13" customWidth="1"/>
    <col min="6" max="6" width="64.9416666666667" style="13" customWidth="1"/>
    <col min="7" max="8" width="6.44166666666667" style="13" customWidth="1"/>
    <col min="9" max="9" width="22.75" style="13" customWidth="1"/>
    <col min="10" max="10" width="61.625" style="13" customWidth="1"/>
    <col min="11" max="12" width="6.44166666666667" style="13" customWidth="1"/>
    <col min="13" max="13" width="13.8166666666667" style="13" customWidth="1"/>
    <col min="14" max="14" width="64.9416666666667" style="13" customWidth="1"/>
    <col min="15" max="15" width="6.44166666666667" style="13" customWidth="1"/>
    <col min="16" max="16" width="7.44166666666667" style="13" customWidth="1"/>
    <col min="17" max="17" width="13.8166666666667" style="13" customWidth="1"/>
    <col min="18" max="18" width="59.375" style="13" customWidth="1"/>
    <col min="19" max="20" width="6.44166666666667" style="13" customWidth="1"/>
    <col min="21" max="16384" width="8.5" style="13"/>
  </cols>
  <sheetData>
    <row r="1" ht="16.1" spans="1:20">
      <c r="A1" s="14" t="s">
        <v>0</v>
      </c>
      <c r="B1" s="14"/>
      <c r="C1" s="14"/>
      <c r="D1" s="14"/>
      <c r="E1" s="15" t="s">
        <v>1</v>
      </c>
      <c r="F1" s="15"/>
      <c r="G1" s="15"/>
      <c r="H1" s="15"/>
      <c r="I1" s="14" t="s">
        <v>2</v>
      </c>
      <c r="J1" s="14"/>
      <c r="K1" s="14"/>
      <c r="L1" s="14"/>
      <c r="M1" s="15" t="s">
        <v>3</v>
      </c>
      <c r="N1" s="15"/>
      <c r="O1" s="15"/>
      <c r="P1" s="15"/>
      <c r="Q1" s="14" t="s">
        <v>4</v>
      </c>
      <c r="R1" s="14"/>
      <c r="S1" s="14"/>
      <c r="T1" s="14"/>
    </row>
    <row r="2" s="12" customFormat="1" spans="1:20">
      <c r="A2" s="12" t="s">
        <v>5</v>
      </c>
      <c r="B2" s="12" t="s">
        <v>6</v>
      </c>
      <c r="C2" s="12" t="s">
        <v>7</v>
      </c>
      <c r="D2" s="12" t="s">
        <v>8</v>
      </c>
      <c r="E2" s="12" t="s">
        <v>5</v>
      </c>
      <c r="F2" s="12" t="s">
        <v>6</v>
      </c>
      <c r="G2" s="12" t="s">
        <v>7</v>
      </c>
      <c r="H2" s="12" t="s">
        <v>8</v>
      </c>
      <c r="I2" s="12" t="s">
        <v>5</v>
      </c>
      <c r="J2" s="12" t="s">
        <v>6</v>
      </c>
      <c r="K2" s="12" t="s">
        <v>7</v>
      </c>
      <c r="L2" s="12" t="s">
        <v>8</v>
      </c>
      <c r="M2" s="12" t="s">
        <v>5</v>
      </c>
      <c r="N2" s="12" t="s">
        <v>6</v>
      </c>
      <c r="O2" s="12" t="s">
        <v>7</v>
      </c>
      <c r="P2" s="12" t="s">
        <v>8</v>
      </c>
      <c r="Q2" s="12" t="s">
        <v>5</v>
      </c>
      <c r="R2" s="12" t="s">
        <v>6</v>
      </c>
      <c r="S2" s="12" t="s">
        <v>7</v>
      </c>
      <c r="T2" s="12" t="s">
        <v>8</v>
      </c>
    </row>
    <row r="3" spans="1:20">
      <c r="A3" s="13" t="str">
        <f ca="1">VLOOKUP(B3,路演答辩顺序!$A:$B,2,FALSE)</f>
        <v>南京工业大学</v>
      </c>
      <c r="B3" s="13" t="str">
        <f ca="1">OFFSET(手动更新!$A$2,(ROW(A1)-1)*4,0)</f>
        <v>垒球冠军计划—青少年垒球运动公益推广的引领者</v>
      </c>
      <c r="C3" s="13">
        <f ca="1">OFFSET(手动更新!$A$3,(ROW(A1)-1)*4,0)</f>
        <v>89.6</v>
      </c>
      <c r="D3" s="13" t="str">
        <f ca="1">OFFSET(手动更新!$A$4,(ROW(C1)-1)*4,0)</f>
        <v>第1名</v>
      </c>
      <c r="E3" s="13" t="str">
        <f ca="1">VLOOKUP(F3,路演答辩顺序!$A:$B,2,FALSE)</f>
        <v>河海大学</v>
      </c>
      <c r="F3" s="13" t="str">
        <f ca="1">OFFSET(手动更新!$B$2,(ROW(E1)-1)*4,0)</f>
        <v>沧海补蛎—海岸带保护修复先锋</v>
      </c>
      <c r="G3" s="13">
        <f ca="1">OFFSET(手动更新!$B$3,(ROW(E1)-1)*4,0)</f>
        <v>89.97</v>
      </c>
      <c r="H3" s="13" t="str">
        <f ca="1">OFFSET(手动更新!$A$4,(ROW(G1)-1)*4,0)</f>
        <v>第1名</v>
      </c>
      <c r="I3" s="13" t="str">
        <f ca="1">VLOOKUP(J3,路演答辩顺序!$A:$B,2,FALSE)</f>
        <v>南京大学</v>
      </c>
      <c r="J3" s="13" t="str">
        <f ca="1">OFFSET(手动更新!$C$2,(ROW(I1)-1)*4,0)</f>
        <v>沙漠里的家——为三百万戈壁牧民 焕新北疆生态牧居</v>
      </c>
      <c r="K3" s="13">
        <f ca="1">OFFSET(手动更新!$C$3,(ROW(I1)-1)*4,0)</f>
        <v>89.03</v>
      </c>
      <c r="L3" s="13" t="str">
        <f ca="1">OFFSET(手动更新!$C$4,(ROW(K1)-1)*4,0)</f>
        <v>第1名</v>
      </c>
      <c r="M3" s="13" t="str">
        <f ca="1">VLOOKUP(N3,路演答辩顺序!$A:$B,2,FALSE)</f>
        <v>南京工业大学</v>
      </c>
      <c r="N3" s="13" t="str">
        <f ca="1">OFFSET(手动更新!$D$2,(ROW(M1)-1)*4,0)</f>
        <v>科锐智气——特种气体精密测控装置破局者</v>
      </c>
      <c r="O3" s="13">
        <f ca="1">OFFSET(手动更新!$D$3,(ROW(M1)-1)*4,0)</f>
        <v>89.56</v>
      </c>
      <c r="P3" s="13" t="str">
        <f ca="1">OFFSET(手动更新!$D$4,(ROW(O1)-1)*4,0)</f>
        <v>第1名</v>
      </c>
      <c r="Q3" s="13" t="str">
        <f ca="1">VLOOKUP(R3,路演答辩顺序!$A:$B,2,FALSE)</f>
        <v>苏州工学院</v>
      </c>
      <c r="R3" s="13" t="str">
        <f ca="1">OFFSET(手动更新!$E$2,(ROW(Q1)-1)*4,0)</f>
        <v>鳞烯双致——石墨烯/玻璃鳞片协同长效海洋防腐涂层创新者</v>
      </c>
      <c r="S3" s="13">
        <f ca="1">OFFSET(手动更新!$E$3,(ROW(Q1)-1)*4,0)</f>
        <v>89.09</v>
      </c>
      <c r="T3" s="13" t="str">
        <f ca="1">OFFSET(手动更新!$E$4,(ROW(S1)-1)*4,0)</f>
        <v>第1名</v>
      </c>
    </row>
    <row r="4" spans="1:20">
      <c r="A4" s="13" t="str">
        <f ca="1">VLOOKUP(B4,路演答辩顺序!$A:$B,2,FALSE)</f>
        <v>南京工业职业技术大学</v>
      </c>
      <c r="B4" s="13" t="str">
        <f ca="1">OFFSET(手动更新!$A$2,(ROW(A2)-1)*4,0)</f>
        <v>铭记你的名字——助力烈士“回家”新标杆</v>
      </c>
      <c r="C4" s="13">
        <f ca="1">OFFSET(手动更新!$A$3,(ROW(A2)-1)*4,0)</f>
        <v>88.63</v>
      </c>
      <c r="D4" s="13" t="str">
        <f ca="1">OFFSET(手动更新!$A$4,(ROW(C2)-1)*4,0)</f>
        <v>第2名</v>
      </c>
      <c r="E4" s="13" t="str">
        <f ca="1">VLOOKUP(F4,路演答辩顺序!$A:$B,2,FALSE)</f>
        <v>南京大学</v>
      </c>
      <c r="F4" s="13" t="str">
        <f ca="1">OFFSET(手动更新!$B$2,(ROW(E2)-1)*4,0)</f>
        <v>青联世界</v>
      </c>
      <c r="G4" s="13">
        <f ca="1">OFFSET(手动更新!$B$3,(ROW(E2)-1)*4,0)</f>
        <v>89.71</v>
      </c>
      <c r="H4" s="13" t="str">
        <f ca="1">OFFSET(手动更新!$A$4,(ROW(G2)-1)*4,0)</f>
        <v>第2名</v>
      </c>
      <c r="I4" s="13" t="str">
        <f ca="1">VLOOKUP(J4,路演答辩顺序!$A:$B,2,FALSE)</f>
        <v>南京工业大学</v>
      </c>
      <c r="J4" s="13" t="str">
        <f ca="1">OFFSET(手动更新!$C$2,(ROW(I2)-1)*4,0)</f>
        <v>光合零碳——全蒸镀钙钛矿光伏补光一体化智慧农业温室</v>
      </c>
      <c r="K4" s="13">
        <f ca="1">OFFSET(手动更新!$C$3,(ROW(I2)-1)*4,0)</f>
        <v>88.17</v>
      </c>
      <c r="L4" s="13" t="str">
        <f ca="1">OFFSET(手动更新!$C$4,(ROW(K2)-1)*4,0)</f>
        <v>第2名</v>
      </c>
      <c r="M4" s="13" t="str">
        <f ca="1">VLOOKUP(N4,路演答辩顺序!$A:$B,2,FALSE)</f>
        <v>南京航空航天大学</v>
      </c>
      <c r="N4" s="13" t="str">
        <f ca="1">OFFSET(手动更新!$D$2,(ROW(M2)-1)*4,0)</f>
        <v>智启凌空——集群智能决策模型虚实迁移技术开拓者</v>
      </c>
      <c r="O4" s="13">
        <f ca="1">OFFSET(手动更新!$D$3,(ROW(M2)-1)*4,0)</f>
        <v>88.97</v>
      </c>
      <c r="P4" s="13" t="str">
        <f ca="1">OFFSET(手动更新!$D$4,(ROW(O2)-1)*4,0)</f>
        <v>第2名</v>
      </c>
      <c r="Q4" s="13" t="str">
        <f ca="1">VLOOKUP(R4,路演答辩顺序!$A:$B,2,FALSE)</f>
        <v>南京林业大学</v>
      </c>
      <c r="R4" s="13" t="str">
        <f ca="1">OFFSET(手动更新!$E$2,(ROW(Q2)-1)*4,0)</f>
        <v>见微知竹-打破高端垄断的绿色竹基微晶纤维素</v>
      </c>
      <c r="S4" s="13">
        <f ca="1">OFFSET(手动更新!$E$3,(ROW(Q2)-1)*4,0)</f>
        <v>88.81</v>
      </c>
      <c r="T4" s="13" t="str">
        <f ca="1">OFFSET(手动更新!$E$4,(ROW(S2)-1)*4,0)</f>
        <v>第2名</v>
      </c>
    </row>
    <row r="5" spans="1:20">
      <c r="A5" s="13" t="str">
        <f ca="1">VLOOKUP(B5,路演答辩顺序!$A:$B,2,FALSE)</f>
        <v>河海大学</v>
      </c>
      <c r="B5" s="13" t="str">
        <f ca="1">OFFSET(手动更新!$A$2,(ROW(A3)-1)*4,0)</f>
        <v>智润九曲——借数智慧脑破千库调度难题，引一河清流润泽沿黄万家</v>
      </c>
      <c r="C5" s="13">
        <f ca="1">OFFSET(手动更新!$A$3,(ROW(A3)-1)*4,0)</f>
        <v>87.49</v>
      </c>
      <c r="D5" s="13" t="str">
        <f ca="1">OFFSET(手动更新!$A$4,(ROW(C3)-1)*4,0)</f>
        <v>第3名</v>
      </c>
      <c r="E5" s="13" t="str">
        <f ca="1">VLOOKUP(F5,路演答辩顺序!$A:$B,2,FALSE)</f>
        <v>东南大学</v>
      </c>
      <c r="F5" s="13" t="str">
        <f ca="1">OFFSET(手动更新!$B$2,(ROW(E3)-1)*4,0)</f>
        <v>牡丹春动育新声——古老昆曲的青春故事：让昆曲“曲高不和寡”</v>
      </c>
      <c r="G5" s="13">
        <f ca="1">OFFSET(手动更新!$B$3,(ROW(E3)-1)*4,0)</f>
        <v>89.31</v>
      </c>
      <c r="H5" s="13" t="str">
        <f ca="1">OFFSET(手动更新!$A$4,(ROW(G3)-1)*4,0)</f>
        <v>第3名</v>
      </c>
      <c r="I5" s="13" t="str">
        <f ca="1">VLOOKUP(J5,路演答辩顺序!$A:$B,2,FALSE)</f>
        <v>南京理工大学</v>
      </c>
      <c r="J5" s="13" t="str">
        <f ca="1">OFFSET(手动更新!$C$2,(ROW(I3)-1)*4,0)</f>
        <v>帧相——AI焕新历史影像，赓续精神血脉</v>
      </c>
      <c r="K5" s="13">
        <f ca="1">OFFSET(手动更新!$C$3,(ROW(I3)-1)*4,0)</f>
        <v>88.03</v>
      </c>
      <c r="L5" s="13" t="str">
        <f ca="1">OFFSET(手动更新!$C$4,(ROW(K3)-1)*4,0)</f>
        <v>第3名</v>
      </c>
      <c r="M5" s="13" t="str">
        <f ca="1">VLOOKUP(N5,路演答辩顺序!$A:$B,2,FALSE)</f>
        <v>南京医科大学</v>
      </c>
      <c r="N5" s="13" t="str">
        <f ca="1">OFFSET(手动更新!$D$2,(ROW(M3)-1)*4,0)</f>
        <v>肾利者——尿液驱动肾癌“早筛-精准递送”一体化解决方案</v>
      </c>
      <c r="O5" s="13">
        <f ca="1">OFFSET(手动更新!$D$3,(ROW(M3)-1)*4,0)</f>
        <v>87.44</v>
      </c>
      <c r="P5" s="13" t="str">
        <f ca="1">OFFSET(手动更新!$D$4,(ROW(O3)-1)*4,0)</f>
        <v>第3名</v>
      </c>
      <c r="Q5" s="13" t="str">
        <f ca="1">VLOOKUP(R5,路演答辩顺序!$A:$B,2,FALSE)</f>
        <v>南京医科大学</v>
      </c>
      <c r="R5" s="13" t="str">
        <f ca="1">OFFSET(手动更新!$E$2,(ROW(Q3)-1)*4,0)</f>
        <v>丹芯——耐药菌快速药敏数字芯片领航者</v>
      </c>
      <c r="S5" s="13">
        <f ca="1">OFFSET(手动更新!$E$3,(ROW(Q3)-1)*4,0)</f>
        <v>88</v>
      </c>
      <c r="T5" s="13" t="str">
        <f ca="1">OFFSET(手动更新!$E$4,(ROW(S3)-1)*4,0)</f>
        <v>第3名</v>
      </c>
    </row>
    <row r="6" spans="1:20">
      <c r="A6" s="13" t="str">
        <f ca="1">VLOOKUP(B6,路演答辩顺序!$A:$B,2,FALSE)</f>
        <v>扬州工业职业技术学院</v>
      </c>
      <c r="B6" s="13" t="str">
        <f ca="1">OFFSET(手动更新!$A$2,(ROW(A4)-1)*4,0)</f>
        <v>救·在身边</v>
      </c>
      <c r="C6" s="13">
        <f ca="1">OFFSET(手动更新!$A$3,(ROW(A4)-1)*4,0)</f>
        <v>86.44</v>
      </c>
      <c r="D6" s="13" t="str">
        <f ca="1">OFFSET(手动更新!$A$4,(ROW(C4)-1)*4,0)</f>
        <v>第4名</v>
      </c>
      <c r="E6" s="13" t="str">
        <f ca="1">VLOOKUP(F6,路演答辩顺序!$A:$B,2,FALSE)</f>
        <v>南京师范大学</v>
      </c>
      <c r="F6" s="13" t="str">
        <f ca="1">OFFSET(手动更新!$B$2,(ROW(E4)-1)*4,0)</f>
        <v>扣响未来——传承中国女排精神新力量 创领大众排球运动新生态</v>
      </c>
      <c r="G6" s="13">
        <f ca="1">OFFSET(手动更新!$B$3,(ROW(E4)-1)*4,0)</f>
        <v>87.73</v>
      </c>
      <c r="H6" s="13" t="str">
        <f ca="1">OFFSET(手动更新!$A$4,(ROW(G4)-1)*4,0)</f>
        <v>第4名</v>
      </c>
      <c r="I6" s="13" t="str">
        <f ca="1">VLOOKUP(J6,路演答辩顺序!$A:$B,2,FALSE)</f>
        <v>江苏大学</v>
      </c>
      <c r="J6" s="13" t="str">
        <f ca="1">OFFSET(手动更新!$C$2,(ROW(I4)-1)*4,0)</f>
        <v>稻富万家——农机农艺赋能再生稻振兴计划，提质增产助农增收</v>
      </c>
      <c r="K6" s="13">
        <f ca="1">OFFSET(手动更新!$C$3,(ROW(I4)-1)*4,0)</f>
        <v>86.8</v>
      </c>
      <c r="L6" s="13" t="str">
        <f ca="1">OFFSET(手动更新!$C$4,(ROW(K4)-1)*4,0)</f>
        <v>第4名</v>
      </c>
      <c r="M6" s="13" t="str">
        <f ca="1">VLOOKUP(N6,路演答辩顺序!$A:$B,2,FALSE)</f>
        <v>扬州大学</v>
      </c>
      <c r="N6" s="13" t="str">
        <f ca="1">OFFSET(手动更新!$D$2,(ROW(M4)-1)*4,0)</f>
        <v>见微知著——超分辨电化学发光显微成像模块</v>
      </c>
      <c r="O6" s="13">
        <f ca="1">OFFSET(手动更新!$D$3,(ROW(M4)-1)*4,0)</f>
        <v>87.39</v>
      </c>
      <c r="P6" s="13" t="str">
        <f ca="1">OFFSET(手动更新!$D$4,(ROW(O4)-1)*4,0)</f>
        <v>第4名</v>
      </c>
      <c r="Q6" s="13" t="str">
        <f ca="1">VLOOKUP(R6,路演答辩顺序!$A:$B,2,FALSE)</f>
        <v>南京信息工程大学</v>
      </c>
      <c r="R6" s="13" t="str">
        <f ca="1">OFFSET(手动更新!$E$2,(ROW(Q4)-1)*4,0)</f>
        <v>光芯智连——新一代AI智算中心光互连集成芯片</v>
      </c>
      <c r="S6" s="13">
        <f ca="1">OFFSET(手动更新!$E$3,(ROW(Q4)-1)*4,0)</f>
        <v>87.09</v>
      </c>
      <c r="T6" s="13" t="str">
        <f ca="1">OFFSET(手动更新!$E$4,(ROW(S4)-1)*4,0)</f>
        <v>第4名</v>
      </c>
    </row>
    <row r="7" spans="1:20">
      <c r="A7" s="13" t="str">
        <f ca="1">VLOOKUP(B7,路演答辩顺序!$A:$B,2,FALSE)</f>
        <v>江苏航运职业技术学院</v>
      </c>
      <c r="B7" s="13" t="str">
        <f ca="1">OFFSET(手动更新!$A$2,(ROW(A5)-1)*4,0)</f>
        <v>无毒有偶——青少年禁毒公益新生态构建者</v>
      </c>
      <c r="C7" s="13">
        <f ca="1">OFFSET(手动更新!$A$3,(ROW(A5)-1)*4,0)</f>
        <v>86.27</v>
      </c>
      <c r="D7" s="13" t="str">
        <f ca="1">OFFSET(手动更新!$A$4,(ROW(C5)-1)*4,0)</f>
        <v>第5名</v>
      </c>
      <c r="E7" s="13" t="str">
        <f ca="1">VLOOKUP(F7,路演答辩顺序!$A:$B,2,FALSE)</f>
        <v>常州大学</v>
      </c>
      <c r="F7" s="13" t="str">
        <f ca="1">OFFSET(手动更新!$B$2,(ROW(E5)-1)*4,0)</f>
        <v>归途明灯——涉罪青少年矫正与成长引航</v>
      </c>
      <c r="G7" s="13">
        <f ca="1">OFFSET(手动更新!$B$3,(ROW(E5)-1)*4,0)</f>
        <v>86.51</v>
      </c>
      <c r="H7" s="13" t="str">
        <f ca="1">OFFSET(手动更新!$A$4,(ROW(G5)-1)*4,0)</f>
        <v>第5名</v>
      </c>
      <c r="I7" s="13" t="str">
        <f ca="1">VLOOKUP(J7,路演答辩顺序!$A:$B,2,FALSE)</f>
        <v>南京师范大学</v>
      </c>
      <c r="J7" s="13" t="str">
        <f ca="1">OFFSET(手动更新!$C$2,(ROW(I5)-1)*4,0)</f>
        <v>乡村鸿雁——合成生物学引领赤霉素GA4国际领先践行农业强国</v>
      </c>
      <c r="K7" s="13">
        <f ca="1">OFFSET(手动更新!$C$3,(ROW(I5)-1)*4,0)</f>
        <v>85.63</v>
      </c>
      <c r="L7" s="13" t="str">
        <f ca="1">OFFSET(手动更新!$C$4,(ROW(K5)-1)*4,0)</f>
        <v>第5名</v>
      </c>
      <c r="M7" s="13" t="str">
        <f ca="1">VLOOKUP(N7,路演答辩顺序!$A:$B,2,FALSE)</f>
        <v>徐州医科大学</v>
      </c>
      <c r="N7" s="13" t="str">
        <f ca="1">OFFSET(手动更新!$D$2,(ROW(M5)-1)*4,0)</f>
        <v>肠有灵硒——结直肠癌放疗增敏与放射损伤保护一体化治疗推动者</v>
      </c>
      <c r="O7" s="13">
        <f ca="1">OFFSET(手动更新!$D$3,(ROW(M5)-1)*4,0)</f>
        <v>86.17</v>
      </c>
      <c r="P7" s="13" t="str">
        <f ca="1">OFFSET(手动更新!$D$4,(ROW(O5)-1)*4,0)</f>
        <v>第5名</v>
      </c>
      <c r="Q7" s="13" t="str">
        <f ca="1">VLOOKUP(R7,路演答辩顺序!$A:$B,2,FALSE)</f>
        <v>河海大学</v>
      </c>
      <c r="R7" s="13" t="str">
        <f ca="1">OFFSET(手动更新!$E$2,(ROW(Q5)-1)*4,0)</f>
        <v>慧谱清源——水环境高光谱智能监测领航者</v>
      </c>
      <c r="S7" s="13">
        <f ca="1">OFFSET(手动更新!$E$3,(ROW(Q5)-1)*4,0)</f>
        <v>87.07</v>
      </c>
      <c r="T7" s="13" t="str">
        <f ca="1">OFFSET(手动更新!$E$4,(ROW(S5)-1)*4,0)</f>
        <v>第5名</v>
      </c>
    </row>
    <row r="8" spans="1:20">
      <c r="A8" s="13" t="str">
        <f ca="1">VLOOKUP(B8,路演答辩顺序!$A:$B,2,FALSE)</f>
        <v>南京航空航天大学</v>
      </c>
      <c r="B8" s="13" t="str">
        <f ca="1">OFFSET(手动更新!$A$2,(ROW(A6)-1)*4,0)</f>
        <v>智育星火—AI赋能新时代青少年国防教育</v>
      </c>
      <c r="C8" s="13">
        <f ca="1">OFFSET(手动更新!$A$3,(ROW(A6)-1)*4,0)</f>
        <v>86.07</v>
      </c>
      <c r="D8" s="13" t="str">
        <f ca="1">OFFSET(手动更新!$A$4,(ROW(C6)-1)*4,0)</f>
        <v>第6名</v>
      </c>
      <c r="E8" s="13" t="str">
        <f ca="1">VLOOKUP(F8,路演答辩顺序!$A:$B,2,FALSE)</f>
        <v>南京理工大学</v>
      </c>
      <c r="F8" s="13" t="str">
        <f ca="1">OFFSET(手动更新!$B$2,(ROW(E6)-1)*4,0)</f>
        <v>永远的丰碑——隐蔽战线英烈档案挖掘、保护与传播</v>
      </c>
      <c r="G8" s="13">
        <f ca="1">OFFSET(手动更新!$B$3,(ROW(E6)-1)*4,0)</f>
        <v>85.94</v>
      </c>
      <c r="H8" s="13" t="str">
        <f ca="1">OFFSET(手动更新!$A$4,(ROW(G6)-1)*4,0)</f>
        <v>第6名</v>
      </c>
      <c r="I8" s="13" t="str">
        <f ca="1">VLOOKUP(J8,路演答辩顺序!$A:$B,2,FALSE)</f>
        <v>南京农业大学</v>
      </c>
      <c r="J8" s="13" t="str">
        <f ca="1">OFFSET(手动更新!$C$2,(ROW(I6)-1)*4,0)</f>
        <v>育优莓，兴万农——以创新有机肥助力蓝莓产业富农兴农</v>
      </c>
      <c r="K8" s="13">
        <f ca="1">OFFSET(手动更新!$C$3,(ROW(I6)-1)*4,0)</f>
        <v>85.23</v>
      </c>
      <c r="L8" s="13" t="str">
        <f ca="1">OFFSET(手动更新!$C$4,(ROW(K6)-1)*4,0)</f>
        <v>第6名</v>
      </c>
      <c r="M8" s="13" t="str">
        <f ca="1">VLOOKUP(N8,路演答辩顺序!$A:$B,2,FALSE)</f>
        <v>江苏科技大学</v>
      </c>
      <c r="N8" s="13" t="str">
        <f ca="1">OFFSET(手动更新!$D$2,(ROW(M6)-1)*4,0)</f>
        <v>智焊无界——大型船舶超厚板智能焊接装备领航者</v>
      </c>
      <c r="O8" s="13">
        <f ca="1">OFFSET(手动更新!$D$3,(ROW(M6)-1)*4,0)</f>
        <v>85.87</v>
      </c>
      <c r="P8" s="13" t="str">
        <f ca="1">OFFSET(手动更新!$D$4,(ROW(O6)-1)*4,0)</f>
        <v>第6名</v>
      </c>
      <c r="Q8" s="13" t="str">
        <f ca="1">VLOOKUP(R8,路演答辩顺序!$A:$B,2,FALSE)</f>
        <v>江苏食品药品职业技术学院</v>
      </c>
      <c r="R8" s="13" t="str">
        <f ca="1">OFFSET(手动更新!$E$2,(ROW(Q6)-1)*4,0)</f>
        <v>“臻”芯无虞——超高保真分子诊断预混液国产领航者</v>
      </c>
      <c r="S8" s="13">
        <f ca="1">OFFSET(手动更新!$E$3,(ROW(Q6)-1)*4,0)</f>
        <v>86.04</v>
      </c>
      <c r="T8" s="13" t="str">
        <f ca="1">OFFSET(手动更新!$E$4,(ROW(S6)-1)*4,0)</f>
        <v>第6名</v>
      </c>
    </row>
    <row r="9" spans="1:20">
      <c r="A9" s="13" t="str">
        <f ca="1">VLOOKUP(B9,路演答辩顺序!$A:$B,2,FALSE)</f>
        <v>河海大学</v>
      </c>
      <c r="B9" s="13" t="str">
        <f ca="1">OFFSET(手动更新!$A$2,(ROW(A7)-1)*4,0)</f>
        <v>法润电商--法律服务赋能农村电商助力乡村振兴</v>
      </c>
      <c r="C9" s="13">
        <f ca="1">OFFSET(手动更新!$A$3,(ROW(A7)-1)*4,0)</f>
        <v>85.19</v>
      </c>
      <c r="D9" s="13" t="str">
        <f ca="1">OFFSET(手动更新!$A$4,(ROW(C7)-1)*4,0)</f>
        <v>第7名</v>
      </c>
      <c r="E9" s="13" t="str">
        <f ca="1">VLOOKUP(F9,路演答辩顺序!$A:$B,2,FALSE)</f>
        <v>南京信息工程大学</v>
      </c>
      <c r="F9" s="13" t="str">
        <f ca="1">OFFSET(手动更新!$B$2,(ROW(E7)-1)*4,0)</f>
        <v>工脉铸魂——红色工业文化“三阶”育人推动者</v>
      </c>
      <c r="G9" s="13">
        <f ca="1">OFFSET(手动更新!$B$3,(ROW(E7)-1)*4,0)</f>
        <v>85.34</v>
      </c>
      <c r="H9" s="13" t="str">
        <f ca="1">OFFSET(手动更新!$A$4,(ROW(G7)-1)*4,0)</f>
        <v>第7名</v>
      </c>
      <c r="I9" s="13" t="str">
        <f ca="1">VLOOKUP(J9,路演答辩顺序!$A:$B,2,FALSE)</f>
        <v>南京林业大学</v>
      </c>
      <c r="J9" s="13" t="str">
        <f ca="1">OFFSET(手动更新!$C$2,(ROW(I7)-1)*4,0)</f>
        <v>出漆智胜——高效智能割漆机器人 助力漆农减负与漆产业发展</v>
      </c>
      <c r="K9" s="13">
        <f ca="1">OFFSET(手动更新!$C$3,(ROW(I7)-1)*4,0)</f>
        <v>85.03</v>
      </c>
      <c r="L9" s="13" t="str">
        <f ca="1">OFFSET(手动更新!$C$4,(ROW(K7)-1)*4,0)</f>
        <v>第7名</v>
      </c>
      <c r="M9" s="13" t="str">
        <f ca="1">VLOOKUP(N9,路演答辩顺序!$A:$B,2,FALSE)</f>
        <v>南京农业大学</v>
      </c>
      <c r="N9" s="13" t="str">
        <f ca="1">OFFSET(手动更新!$D$2,(ROW(M7)-1)*4,0)</f>
        <v>碳寻新剂—国内首创菌渣基药肥一体化肥料添加剂</v>
      </c>
      <c r="O9" s="13">
        <f ca="1">OFFSET(手动更新!$D$3,(ROW(M7)-1)*4,0)</f>
        <v>85.44</v>
      </c>
      <c r="P9" s="13" t="str">
        <f ca="1">OFFSET(手动更新!$D$4,(ROW(O7)-1)*4,0)</f>
        <v>第7名</v>
      </c>
      <c r="Q9" s="13" t="str">
        <f ca="1">VLOOKUP(R9,路演答辩顺序!$A:$B,2,FALSE)</f>
        <v>常州大学</v>
      </c>
      <c r="R9" s="13" t="str">
        <f ca="1">OFFSET(手动更新!$E$2,(ROW(Q7)-1)*4,0)</f>
        <v>智声慧检——用于城镇埋地燃气管道的智能声学内检测器</v>
      </c>
      <c r="S9" s="13">
        <f ca="1">OFFSET(手动更新!$E$3,(ROW(Q7)-1)*4,0)</f>
        <v>84.91</v>
      </c>
      <c r="T9" s="13" t="str">
        <f ca="1">OFFSET(手动更新!$E$4,(ROW(S7)-1)*4,0)</f>
        <v>第7名</v>
      </c>
    </row>
    <row r="10" spans="1:20">
      <c r="A10" s="13" t="str">
        <f ca="1">VLOOKUP(B10,路演答辩顺序!$A:$B,2,FALSE)</f>
        <v>苏州大学</v>
      </c>
      <c r="B10" s="13" t="str">
        <f ca="1">OFFSET(手动更新!$A$2,(ROW(A8)-1)*4,0)</f>
        <v>铁军薪火：海外新四军抗战档案抢救整理与红色基因传承新范式</v>
      </c>
      <c r="C10" s="13">
        <f ca="1">OFFSET(手动更新!$A$3,(ROW(A8)-1)*4,0)</f>
        <v>84.73</v>
      </c>
      <c r="D10" s="13" t="str">
        <f ca="1">OFFSET(手动更新!$A$4,(ROW(C8)-1)*4,0)</f>
        <v>第8名</v>
      </c>
      <c r="E10" s="13" t="str">
        <f ca="1">VLOOKUP(F10,路演答辩顺序!$A:$B,2,FALSE)</f>
        <v>宿迁学院</v>
      </c>
      <c r="F10" s="13" t="str">
        <f ca="1">OFFSET(手动更新!$B$2,(ROW(E8)-1)*4,0)</f>
        <v>逐光而行——以京东“阳光天使”为起点的新业态下助残就业新路径</v>
      </c>
      <c r="G10" s="13">
        <f ca="1">OFFSET(手动更新!$B$3,(ROW(E8)-1)*4,0)</f>
        <v>83.41</v>
      </c>
      <c r="H10" s="13" t="str">
        <f ca="1">OFFSET(手动更新!$A$4,(ROW(G8)-1)*4,0)</f>
        <v>第8名</v>
      </c>
      <c r="I10" s="13" t="str">
        <f ca="1">VLOOKUP(J10,路演答辩顺序!$A:$B,2,FALSE)</f>
        <v>淮阴师范学院</v>
      </c>
      <c r="J10" s="13" t="str">
        <f ca="1">OFFSET(手动更新!$C$2,(ROW(I8)-1)*4,0)</f>
        <v>稻香菇事——轮作兴农乡村振兴力行者</v>
      </c>
      <c r="K10" s="13">
        <f ca="1">OFFSET(手动更新!$C$3,(ROW(I8)-1)*4,0)</f>
        <v>84.13</v>
      </c>
      <c r="L10" s="13" t="str">
        <f ca="1">OFFSET(手动更新!$C$4,(ROW(K8)-1)*4,0)</f>
        <v>第8名</v>
      </c>
      <c r="M10" s="13" t="str">
        <f ca="1">VLOOKUP(N10,路演答辩顺序!$A:$B,2,FALSE)</f>
        <v>苏州工学院</v>
      </c>
      <c r="N10" s="13" t="str">
        <f ca="1">OFFSET(手动更新!$D$2,(ROW(M8)-1)*4,0)</f>
        <v>鉴布如飞—新一代柔性全景自增强织造检测高效随诊师</v>
      </c>
      <c r="O10" s="13">
        <f ca="1">OFFSET(手动更新!$D$3,(ROW(M8)-1)*4,0)</f>
        <v>84.51</v>
      </c>
      <c r="P10" s="13" t="str">
        <f ca="1">OFFSET(手动更新!$D$4,(ROW(O8)-1)*4,0)</f>
        <v>第8名</v>
      </c>
      <c r="Q10" s="13" t="str">
        <f ca="1">VLOOKUP(R10,路演答辩顺序!$A:$B,2,FALSE)</f>
        <v>无锡学院</v>
      </c>
      <c r="R10" s="13" t="str">
        <f ca="1">OFFSET(手动更新!$E$2,(ROW(Q8)-1)*4,0)</f>
        <v>信安哨兵——地铁插拔式信号设备智能安全预检系统</v>
      </c>
      <c r="S10" s="13">
        <f ca="1">OFFSET(手动更新!$E$3,(ROW(Q8)-1)*4,0)</f>
        <v>84.77</v>
      </c>
      <c r="T10" s="13" t="str">
        <f ca="1">OFFSET(手动更新!$E$4,(ROW(S8)-1)*4,0)</f>
        <v>第8名</v>
      </c>
    </row>
    <row r="11" spans="1:20">
      <c r="A11" s="13" t="str">
        <f ca="1">VLOOKUP(B11,路演答辩顺序!$A:$B,2,FALSE)</f>
        <v>江苏城市职业学院</v>
      </c>
      <c r="B11" s="13" t="str">
        <f ca="1">OFFSET(手动更新!$A$2,(ROW(A9)-1)*4,0)</f>
        <v>有爱无碍，赋能残疾人共享社会发展成果</v>
      </c>
      <c r="C11" s="13">
        <f ca="1">OFFSET(手动更新!$A$3,(ROW(A9)-1)*4,0)</f>
        <v>83.21</v>
      </c>
      <c r="D11" s="13" t="str">
        <f ca="1">OFFSET(手动更新!$A$4,(ROW(C9)-1)*4,0)</f>
        <v>第9名</v>
      </c>
      <c r="E11" s="13" t="str">
        <f ca="1">VLOOKUP(F11,路演答辩顺序!$A:$B,2,FALSE)</f>
        <v>苏州科技大学</v>
      </c>
      <c r="F11" s="13" t="str">
        <f ca="1">OFFSET(手动更新!$B$2,(ROW(E9)-1)*4,0)</f>
        <v>人间重晚晴——守护生命最后一公里的“尊严”</v>
      </c>
      <c r="G11" s="13">
        <f ca="1">OFFSET(手动更新!$B$3,(ROW(E9)-1)*4,0)</f>
        <v>83.16</v>
      </c>
      <c r="H11" s="13" t="str">
        <f ca="1">OFFSET(手动更新!$A$4,(ROW(G9)-1)*4,0)</f>
        <v>第9名</v>
      </c>
      <c r="I11" s="13" t="str">
        <f ca="1">VLOOKUP(J11,路演答辩顺序!$A:$B,2,FALSE)</f>
        <v>南京铁道职业技术学院</v>
      </c>
      <c r="J11" s="13" t="str">
        <f ca="1">OFFSET(手动更新!$C$2,(ROW(I9)-1)*4,0)</f>
        <v>红途戎耀——退役大学生国防教育赋能计划</v>
      </c>
      <c r="K11" s="13">
        <f ca="1">OFFSET(手动更新!$C$3,(ROW(I9)-1)*4,0)</f>
        <v>83.09</v>
      </c>
      <c r="L11" s="13" t="str">
        <f ca="1">OFFSET(手动更新!$C$4,(ROW(K9)-1)*4,0)</f>
        <v>第9名</v>
      </c>
      <c r="M11" s="13" t="str">
        <f ca="1">VLOOKUP(N11,路演答辩顺序!$A:$B,2,FALSE)</f>
        <v>无锡学院</v>
      </c>
      <c r="N11" s="13" t="str">
        <f ca="1">OFFSET(手动更新!$D$2,(ROW(M9)-1)*4,0)</f>
        <v>慧眼鉴晶-晶圆异常针痕及表面缺陷检测领航者</v>
      </c>
      <c r="O11" s="13">
        <f ca="1">OFFSET(手动更新!$D$3,(ROW(M9)-1)*4,0)</f>
        <v>83.79</v>
      </c>
      <c r="P11" s="13" t="str">
        <f ca="1">OFFSET(手动更新!$D$4,(ROW(O9)-1)*4,0)</f>
        <v>第9名</v>
      </c>
      <c r="Q11" s="13" t="str">
        <f ca="1">VLOOKUP(R11,路演答辩顺序!$A:$B,2,FALSE)</f>
        <v>扬州大学</v>
      </c>
      <c r="R11" s="13" t="str">
        <f ca="1">OFFSET(手动更新!$E$2,(ROW(Q9)-1)*4,0)</f>
        <v>藻豆生鲜—新型藻豆复合蛋白基料引领者</v>
      </c>
      <c r="S11" s="13">
        <f ca="1">OFFSET(手动更新!$E$3,(ROW(Q9)-1)*4,0)</f>
        <v>84.27</v>
      </c>
      <c r="T11" s="13" t="str">
        <f ca="1">OFFSET(手动更新!$E$4,(ROW(S9)-1)*4,0)</f>
        <v>第9名</v>
      </c>
    </row>
    <row r="12" spans="1:20">
      <c r="A12" s="13" t="str">
        <f ca="1">VLOOKUP(B12,路演答辩顺序!$A:$B,2,FALSE)</f>
        <v>南京铁道职业技术学院</v>
      </c>
      <c r="B12" s="13" t="str">
        <f ca="1">OFFSET(手动更新!$A$2,(ROW(A10)-1)*4,0)</f>
        <v>铁脉薪传—铁道兵精神传承专列</v>
      </c>
      <c r="C12" s="13">
        <f ca="1">OFFSET(手动更新!$A$3,(ROW(A10)-1)*4,0)</f>
        <v>82.61</v>
      </c>
      <c r="D12" s="13" t="str">
        <f ca="1">OFFSET(手动更新!$A$4,(ROW(C10)-1)*4,0)</f>
        <v>第10名</v>
      </c>
      <c r="E12" s="13" t="str">
        <f ca="1">VLOOKUP(F12,路演答辩顺序!$A:$B,2,FALSE)</f>
        <v>南京铁道职业技术学院</v>
      </c>
      <c r="F12" s="13" t="str">
        <f ca="1">OFFSET(手动更新!$B$2,(ROW(E10)-1)*4,0)</f>
        <v>橙光智愿——全国首个铁路志愿全周期赋能学堂</v>
      </c>
      <c r="G12" s="13">
        <f ca="1">OFFSET(手动更新!$B$3,(ROW(E10)-1)*4,0)</f>
        <v>82.01</v>
      </c>
      <c r="H12" s="13" t="str">
        <f ca="1">OFFSET(手动更新!$A$4,(ROW(G10)-1)*4,0)</f>
        <v>第10名</v>
      </c>
      <c r="I12" s="13" t="str">
        <f ca="1">VLOOKUP(J12,路演答辩顺序!$A:$B,2,FALSE)</f>
        <v>江苏航运职业技术学院</v>
      </c>
      <c r="J12" s="13" t="str">
        <f ca="1">OFFSET(手动更新!$C$2,(ROW(I10)-1)*4,0)</f>
        <v>忆海拾贝 钿启新航——非遗螺钿的幻彩新生</v>
      </c>
      <c r="K12" s="13">
        <f ca="1">OFFSET(手动更新!$C$3,(ROW(I10)-1)*4,0)</f>
        <v>82.53</v>
      </c>
      <c r="L12" s="13" t="str">
        <f ca="1">OFFSET(手动更新!$C$4,(ROW(K10)-1)*4,0)</f>
        <v>第10名</v>
      </c>
      <c r="M12" s="13" t="str">
        <f ca="1">VLOOKUP(N12,路演答辩顺序!$A:$B,2,FALSE)</f>
        <v>江苏海洋大学</v>
      </c>
      <c r="N12" s="13" t="str">
        <f ca="1">OFFSET(手动更新!$D$2,(ROW(M10)-1)*4,0)</f>
        <v>热控凉方——高集成封装芯片散热用高导热界面材料</v>
      </c>
      <c r="O12" s="13">
        <f ca="1">OFFSET(手动更新!$D$3,(ROW(M10)-1)*4,0)</f>
        <v>83</v>
      </c>
      <c r="P12" s="13" t="str">
        <f ca="1">OFFSET(手动更新!$D$4,(ROW(O10)-1)*4,0)</f>
        <v>第10名</v>
      </c>
      <c r="Q12" s="13" t="str">
        <f ca="1">VLOOKUP(R12,路演答辩顺序!$A:$B,2,FALSE)</f>
        <v>徐州工程学院</v>
      </c>
      <c r="R12" s="13" t="str">
        <f ca="1">OFFSET(手动更新!$E$2,(ROW(Q10)-1)*4,0)</f>
        <v>深地之眼—隧洞施工多技术融合智能探测模块践行者</v>
      </c>
      <c r="S12" s="13">
        <f ca="1">OFFSET(手动更新!$E$3,(ROW(Q10)-1)*4,0)</f>
        <v>83.39</v>
      </c>
      <c r="T12" s="13" t="str">
        <f ca="1">OFFSET(手动更新!$E$4,(ROW(S10)-1)*4,0)</f>
        <v>第10名</v>
      </c>
    </row>
    <row r="13" spans="1:20">
      <c r="A13" s="13" t="str">
        <f ca="1">VLOOKUP(B13,路演答辩顺序!$A:$B,2,FALSE)</f>
        <v>苏州健雄职业技术学院</v>
      </c>
      <c r="B13" s="13" t="str">
        <f ca="1">OFFSET(手动更新!$A$2,(ROW(A11)-1)*4,0)</f>
        <v>“骑”心协力“救”在身边——快递外卖从业者急救素养提升公益行动</v>
      </c>
      <c r="C13" s="13">
        <f ca="1">OFFSET(手动更新!$A$3,(ROW(A11)-1)*4,0)</f>
        <v>80.3</v>
      </c>
      <c r="D13" s="13" t="str">
        <f ca="1">OFFSET(手动更新!$A$4,(ROW(C11)-1)*4,0)</f>
        <v>第11名</v>
      </c>
      <c r="E13" s="13" t="str">
        <f ca="1">VLOOKUP(F13,路演答辩顺序!$A:$B,2,FALSE)</f>
        <v>江苏农牧科技职业学院</v>
      </c>
      <c r="F13" s="13" t="str">
        <f ca="1">OFFSET(手动更新!$B$2,(ROW(E11)-1)*4,0)</f>
        <v>青春π先锋公益——关爱留守儿童，让心不再孤单</v>
      </c>
      <c r="G13" s="13">
        <f ca="1">OFFSET(手动更新!$B$3,(ROW(E11)-1)*4,0)</f>
        <v>80.84</v>
      </c>
      <c r="H13" s="13" t="str">
        <f ca="1">OFFSET(手动更新!$A$4,(ROW(G11)-1)*4,0)</f>
        <v>第11名</v>
      </c>
      <c r="I13" s="13" t="str">
        <f ca="1">VLOOKUP(J13,路演答辩顺序!$A:$B,2,FALSE)</f>
        <v>江苏工程职业技术学院</v>
      </c>
      <c r="J13" s="13" t="str">
        <f ca="1">OFFSET(手动更新!$C$2,(ROW(I11)-1)*4,0)</f>
        <v>光净清源——有机毒害污水激光空化降解缔造者</v>
      </c>
      <c r="K13" s="13">
        <f ca="1">OFFSET(手动更新!$C$3,(ROW(I11)-1)*4,0)</f>
        <v>82.23</v>
      </c>
      <c r="L13" s="13" t="str">
        <f ca="1">OFFSET(手动更新!$C$4,(ROW(K11)-1)*4,0)</f>
        <v>第11名</v>
      </c>
      <c r="M13" s="13" t="str">
        <f ca="1">VLOOKUP(N13,路演答辩顺序!$A:$B,2,FALSE)</f>
        <v>徐州工程学院</v>
      </c>
      <c r="N13" s="13" t="str">
        <f ca="1">OFFSET(手动更新!$D$2,(ROW(M11)-1)*4,0)</f>
        <v>工业智瞳——新时代高水平工业智能装备软件AI测试安全守护者</v>
      </c>
      <c r="O13" s="13">
        <f ca="1">OFFSET(手动更新!$D$3,(ROW(M11)-1)*4,0)</f>
        <v>82.44</v>
      </c>
      <c r="P13" s="13" t="str">
        <f ca="1">OFFSET(手动更新!$D$4,(ROW(O11)-1)*4,0)</f>
        <v>第11名</v>
      </c>
      <c r="Q13" s="13" t="str">
        <f ca="1">VLOOKUP(R13,路演答辩顺序!$A:$B,2,FALSE)</f>
        <v>江苏师范大学</v>
      </c>
      <c r="R13" s="13" t="str">
        <f ca="1">OFFSET(手动更新!$E$2,(ROW(Q11)-1)*4,0)</f>
        <v>星驭——面向卫星互联网激光通信的2μm智能化种子源</v>
      </c>
      <c r="S13" s="13">
        <f ca="1">OFFSET(手动更新!$E$3,(ROW(Q11)-1)*4,0)</f>
        <v>82.17</v>
      </c>
      <c r="T13" s="13" t="str">
        <f ca="1">OFFSET(手动更新!$E$4,(ROW(S11)-1)*4,0)</f>
        <v>第11名</v>
      </c>
    </row>
    <row r="14" spans="1:20">
      <c r="A14" s="13" t="e">
        <f ca="1">VLOOKUP(B14,路演答辩顺序!$A:$B,2,FALSE)</f>
        <v>#N/A</v>
      </c>
      <c r="B14" s="13">
        <f ca="1">OFFSET(手动更新!$A$2,(ROW(A12)-1)*4,0)</f>
        <v>0</v>
      </c>
      <c r="C14" s="13">
        <f ca="1">OFFSET(手动更新!$A$3,(ROW(A12)-1)*4,0)</f>
        <v>0</v>
      </c>
      <c r="D14" s="13">
        <f ca="1">OFFSET(手动更新!$A$4,(ROW(C12)-1)*4,0)</f>
        <v>0</v>
      </c>
      <c r="E14" s="13" t="e">
        <f ca="1">VLOOKUP(F14,路演答辩顺序!$A:$B,2,FALSE)</f>
        <v>#N/A</v>
      </c>
      <c r="F14" s="13">
        <f ca="1">OFFSET(手动更新!$B$2,(ROW(E12)-1)*4,0)</f>
        <v>0</v>
      </c>
      <c r="G14" s="13">
        <f ca="1">OFFSET(手动更新!$B$3,(ROW(E12)-1)*4,0)</f>
        <v>0</v>
      </c>
      <c r="H14" s="13">
        <f ca="1">OFFSET(手动更新!$A$4,(ROW(G12)-1)*4,0)</f>
        <v>0</v>
      </c>
      <c r="I14" s="13" t="e">
        <f ca="1">VLOOKUP(J14,路演答辩顺序!$A:$B,2,FALSE)</f>
        <v>#N/A</v>
      </c>
      <c r="J14" s="13">
        <f ca="1">OFFSET(手动更新!$C$2,(ROW(I12)-1)*4,0)</f>
        <v>0</v>
      </c>
      <c r="K14" s="13">
        <f ca="1">OFFSET(手动更新!$C$3,(ROW(I12)-1)*4,0)</f>
        <v>0</v>
      </c>
      <c r="L14" s="13">
        <f ca="1">OFFSET(手动更新!$C$4,(ROW(K12)-1)*4,0)</f>
        <v>0</v>
      </c>
      <c r="M14" s="13" t="str">
        <f ca="1">VLOOKUP(N14,路演答辩顺序!$A:$B,2,FALSE)</f>
        <v>苏州工学院</v>
      </c>
      <c r="N14" s="13" t="str">
        <f ca="1">OFFSET(手动更新!$D$2,(ROW(M12)-1)*4,0)</f>
        <v>创芯速鉴-高标准快检护航果蔬无忧出海</v>
      </c>
      <c r="O14" s="13">
        <f ca="1">OFFSET(手动更新!$D$3,(ROW(M12)-1)*4,0)</f>
        <v>81.77</v>
      </c>
      <c r="P14" s="13" t="str">
        <f ca="1">OFFSET(手动更新!$D$4,(ROW(O12)-1)*4,0)</f>
        <v>第12名</v>
      </c>
      <c r="Q14" s="13" t="e">
        <f ca="1">VLOOKUP(R14,路演答辩顺序!$A:$B,2,FALSE)</f>
        <v>#N/A</v>
      </c>
      <c r="R14" s="13">
        <f ca="1">OFFSET(手动更新!$E$2,(ROW(Q12)-1)*4,0)</f>
        <v>0</v>
      </c>
      <c r="S14" s="13">
        <f ca="1">OFFSET(手动更新!$E$3,(ROW(Q12)-1)*4,0)</f>
        <v>0</v>
      </c>
      <c r="T14" s="13">
        <f ca="1">OFFSET(手动更新!$E$4,(ROW(S12)-1)*4,0)</f>
        <v>0</v>
      </c>
    </row>
    <row r="15" spans="1:20">
      <c r="A15" s="13" t="e">
        <f ca="1">VLOOKUP(B15,路演答辩顺序!$A:$B,2,FALSE)</f>
        <v>#N/A</v>
      </c>
      <c r="B15" s="13">
        <f ca="1">OFFSET(手动更新!$A$2,(ROW(A13)-1)*4,0)</f>
        <v>0</v>
      </c>
      <c r="C15" s="13">
        <f ca="1">OFFSET(手动更新!$A$3,(ROW(A13)-1)*4,0)</f>
        <v>0</v>
      </c>
      <c r="D15" s="13">
        <f ca="1">OFFSET(手动更新!$A$4,(ROW(C13)-1)*4,0)</f>
        <v>0</v>
      </c>
      <c r="E15" s="13" t="e">
        <f ca="1">VLOOKUP(F15,路演答辩顺序!$A:$B,2,FALSE)</f>
        <v>#N/A</v>
      </c>
      <c r="F15" s="13">
        <f ca="1">OFFSET(手动更新!$B$2,(ROW(E13)-1)*4,0)</f>
        <v>0</v>
      </c>
      <c r="G15" s="13">
        <f ca="1">OFFSET(手动更新!$B$3,(ROW(E13)-1)*4,0)</f>
        <v>0</v>
      </c>
      <c r="H15" s="13">
        <f ca="1">OFFSET(手动更新!$A$4,(ROW(G13)-1)*4,0)</f>
        <v>0</v>
      </c>
      <c r="I15" s="13" t="e">
        <f ca="1">VLOOKUP(J15,路演答辩顺序!$A:$B,2,FALSE)</f>
        <v>#N/A</v>
      </c>
      <c r="J15" s="13">
        <f ca="1">OFFSET(手动更新!$C$2,(ROW(I13)-1)*4,0)</f>
        <v>0</v>
      </c>
      <c r="K15" s="13">
        <f ca="1">OFFSET(手动更新!$C$3,(ROW(I13)-1)*4,0)</f>
        <v>0</v>
      </c>
      <c r="L15" s="13">
        <f ca="1">OFFSET(手动更新!$C$4,(ROW(K13)-1)*4,0)</f>
        <v>0</v>
      </c>
      <c r="M15" s="13" t="e">
        <f ca="1">VLOOKUP(N15,路演答辩顺序!$A:$B,2,FALSE)</f>
        <v>#N/A</v>
      </c>
      <c r="N15" s="13">
        <f ca="1">OFFSET(手动更新!$D$2,(ROW(M13)-1)*4,0)</f>
        <v>0</v>
      </c>
      <c r="O15" s="13">
        <f ca="1">OFFSET(手动更新!$D$3,(ROW(M13)-1)*4,0)</f>
        <v>0</v>
      </c>
      <c r="P15" s="13">
        <f ca="1">OFFSET(手动更新!$D$4,(ROW(O13)-1)*4,0)</f>
        <v>0</v>
      </c>
      <c r="Q15" s="13" t="e">
        <f ca="1">VLOOKUP(R15,路演答辩顺序!$A:$B,2,FALSE)</f>
        <v>#N/A</v>
      </c>
      <c r="R15" s="13">
        <f ca="1">OFFSET(手动更新!$E$2,(ROW(Q13)-1)*4,0)</f>
        <v>0</v>
      </c>
      <c r="S15" s="13">
        <f ca="1">OFFSET(手动更新!$E$3,(ROW(Q13)-1)*4,0)</f>
        <v>0</v>
      </c>
      <c r="T15" s="13">
        <f ca="1">OFFSET(手动更新!$E$4,(ROW(S13)-1)*4,0)</f>
        <v>0</v>
      </c>
    </row>
    <row r="16" spans="1:20">
      <c r="A16" s="13" t="e">
        <f ca="1">VLOOKUP(B16,路演答辩顺序!$A:$B,2,FALSE)</f>
        <v>#N/A</v>
      </c>
      <c r="B16" s="13">
        <f ca="1">OFFSET(手动更新!$A$2,(ROW(A14)-1)*4,0)</f>
        <v>0</v>
      </c>
      <c r="C16" s="13">
        <f ca="1">OFFSET(手动更新!$A$3,(ROW(A14)-1)*4,0)</f>
        <v>0</v>
      </c>
      <c r="D16" s="13">
        <f ca="1">OFFSET(手动更新!$A$4,(ROW(C14)-1)*4,0)</f>
        <v>0</v>
      </c>
      <c r="E16" s="13" t="e">
        <f ca="1">VLOOKUP(F16,路演答辩顺序!$A:$B,2,FALSE)</f>
        <v>#N/A</v>
      </c>
      <c r="F16" s="13">
        <f ca="1">OFFSET(手动更新!$B$2,(ROW(E14)-1)*4,0)</f>
        <v>0</v>
      </c>
      <c r="G16" s="13">
        <f ca="1">OFFSET(手动更新!$B$3,(ROW(E14)-1)*4,0)</f>
        <v>0</v>
      </c>
      <c r="H16" s="13">
        <f ca="1">OFFSET(手动更新!$A$4,(ROW(G14)-1)*4,0)</f>
        <v>0</v>
      </c>
      <c r="I16" s="13" t="e">
        <f ca="1">VLOOKUP(J16,路演答辩顺序!$A:$B,2,FALSE)</f>
        <v>#N/A</v>
      </c>
      <c r="J16" s="13">
        <f ca="1">OFFSET(手动更新!$C$2,(ROW(I14)-1)*4,0)</f>
        <v>0</v>
      </c>
      <c r="K16" s="13">
        <f ca="1">OFFSET(手动更新!$C$3,(ROW(I14)-1)*4,0)</f>
        <v>0</v>
      </c>
      <c r="L16" s="13">
        <f ca="1">OFFSET(手动更新!$C$4,(ROW(K14)-1)*4,0)</f>
        <v>0</v>
      </c>
      <c r="M16" s="13" t="e">
        <f ca="1">VLOOKUP(N16,路演答辩顺序!$A:$B,2,FALSE)</f>
        <v>#N/A</v>
      </c>
      <c r="N16" s="13">
        <f ca="1">OFFSET(手动更新!$D$2,(ROW(M14)-1)*4,0)</f>
        <v>0</v>
      </c>
      <c r="O16" s="13">
        <f ca="1">OFFSET(手动更新!$D$3,(ROW(M14)-1)*4,0)</f>
        <v>0</v>
      </c>
      <c r="P16" s="13">
        <f ca="1">OFFSET(手动更新!$D$4,(ROW(O14)-1)*4,0)</f>
        <v>0</v>
      </c>
      <c r="Q16" s="13" t="e">
        <f ca="1">VLOOKUP(R16,路演答辩顺序!$A:$B,2,FALSE)</f>
        <v>#N/A</v>
      </c>
      <c r="R16" s="13">
        <f ca="1">OFFSET(手动更新!$E$2,(ROW(Q14)-1)*4,0)</f>
        <v>0</v>
      </c>
      <c r="S16" s="13">
        <f ca="1">OFFSET(手动更新!$E$3,(ROW(Q14)-1)*4,0)</f>
        <v>0</v>
      </c>
      <c r="T16" s="13">
        <f ca="1">OFFSET(手动更新!$E$4,(ROW(S14)-1)*4,0)</f>
        <v>0</v>
      </c>
    </row>
    <row r="17" spans="1:20">
      <c r="A17" s="13" t="e">
        <f ca="1">VLOOKUP(B17,路演答辩顺序!$A:$B,2,FALSE)</f>
        <v>#N/A</v>
      </c>
      <c r="B17" s="13">
        <f ca="1">OFFSET(手动更新!$A$2,(ROW(A15)-1)*4,0)</f>
        <v>0</v>
      </c>
      <c r="C17" s="13">
        <f ca="1">OFFSET(手动更新!$A$3,(ROW(A15)-1)*4,0)</f>
        <v>0</v>
      </c>
      <c r="D17" s="13">
        <f ca="1">OFFSET(手动更新!$A$4,(ROW(C15)-1)*4,0)</f>
        <v>0</v>
      </c>
      <c r="E17" s="13" t="e">
        <f ca="1">VLOOKUP(F17,路演答辩顺序!$A:$B,2,FALSE)</f>
        <v>#N/A</v>
      </c>
      <c r="F17" s="13">
        <f ca="1">OFFSET(手动更新!$B$2,(ROW(E15)-1)*4,0)</f>
        <v>0</v>
      </c>
      <c r="G17" s="13">
        <f ca="1">OFFSET(手动更新!$B$3,(ROW(E15)-1)*4,0)</f>
        <v>0</v>
      </c>
      <c r="H17" s="13">
        <f ca="1">OFFSET(手动更新!$A$4,(ROW(G15)-1)*4,0)</f>
        <v>0</v>
      </c>
      <c r="I17" s="13" t="e">
        <f ca="1">VLOOKUP(J17,路演答辩顺序!$A:$B,2,FALSE)</f>
        <v>#N/A</v>
      </c>
      <c r="J17" s="13">
        <f ca="1">OFFSET(手动更新!$C$2,(ROW(I15)-1)*4,0)</f>
        <v>0</v>
      </c>
      <c r="K17" s="13">
        <f ca="1">OFFSET(手动更新!$C$3,(ROW(I15)-1)*4,0)</f>
        <v>0</v>
      </c>
      <c r="L17" s="13">
        <f ca="1">OFFSET(手动更新!$C$4,(ROW(K15)-1)*4,0)</f>
        <v>0</v>
      </c>
      <c r="M17" s="13" t="e">
        <f ca="1">VLOOKUP(N17,路演答辩顺序!$A:$B,2,FALSE)</f>
        <v>#N/A</v>
      </c>
      <c r="N17" s="13">
        <f ca="1">OFFSET(手动更新!$D$2,(ROW(M15)-1)*4,0)</f>
        <v>0</v>
      </c>
      <c r="O17" s="13">
        <f ca="1">OFFSET(手动更新!$D$3,(ROW(M15)-1)*4,0)</f>
        <v>0</v>
      </c>
      <c r="P17" s="13">
        <f ca="1">OFFSET(手动更新!$D$4,(ROW(O15)-1)*4,0)</f>
        <v>0</v>
      </c>
      <c r="Q17" s="13" t="e">
        <f ca="1">VLOOKUP(R17,路演答辩顺序!$A:$B,2,FALSE)</f>
        <v>#N/A</v>
      </c>
      <c r="R17" s="13">
        <f ca="1">OFFSET(手动更新!$E$2,(ROW(Q15)-1)*4,0)</f>
        <v>0</v>
      </c>
      <c r="S17" s="13">
        <f ca="1">OFFSET(手动更新!$E$3,(ROW(Q15)-1)*4,0)</f>
        <v>0</v>
      </c>
      <c r="T17" s="13">
        <f ca="1">OFFSET(手动更新!$E$4,(ROW(S15)-1)*4,0)</f>
        <v>0</v>
      </c>
    </row>
    <row r="18" spans="1:20">
      <c r="A18" s="13" t="e">
        <f ca="1">VLOOKUP(B18,路演答辩顺序!$A:$B,2,FALSE)</f>
        <v>#N/A</v>
      </c>
      <c r="B18" s="13">
        <f ca="1">OFFSET(手动更新!$A$2,(ROW(A16)-1)*4,0)</f>
        <v>0</v>
      </c>
      <c r="C18" s="13">
        <f ca="1">OFFSET(手动更新!$A$3,(ROW(A16)-1)*4,0)</f>
        <v>0</v>
      </c>
      <c r="D18" s="13">
        <f ca="1">OFFSET(手动更新!$A$4,(ROW(C16)-1)*4,0)</f>
        <v>0</v>
      </c>
      <c r="E18" s="13" t="e">
        <f ca="1">VLOOKUP(F18,路演答辩顺序!$A:$B,2,FALSE)</f>
        <v>#N/A</v>
      </c>
      <c r="F18" s="13">
        <f ca="1">OFFSET(手动更新!$B$2,(ROW(E16)-1)*4,0)</f>
        <v>0</v>
      </c>
      <c r="G18" s="13">
        <f ca="1">OFFSET(手动更新!$B$3,(ROW(E16)-1)*4,0)</f>
        <v>0</v>
      </c>
      <c r="H18" s="13">
        <f ca="1">OFFSET(手动更新!$A$4,(ROW(G16)-1)*4,0)</f>
        <v>0</v>
      </c>
      <c r="I18" s="13" t="e">
        <f ca="1">VLOOKUP(J18,路演答辩顺序!$A:$B,2,FALSE)</f>
        <v>#N/A</v>
      </c>
      <c r="J18" s="13">
        <f ca="1">OFFSET(手动更新!$C$2,(ROW(I16)-1)*4,0)</f>
        <v>0</v>
      </c>
      <c r="K18" s="13">
        <f ca="1">OFFSET(手动更新!$C$3,(ROW(I16)-1)*4,0)</f>
        <v>0</v>
      </c>
      <c r="L18" s="13">
        <f ca="1">OFFSET(手动更新!$C$4,(ROW(K16)-1)*4,0)</f>
        <v>0</v>
      </c>
      <c r="M18" s="13" t="e">
        <f ca="1">VLOOKUP(N18,路演答辩顺序!$A:$B,2,FALSE)</f>
        <v>#N/A</v>
      </c>
      <c r="N18" s="13">
        <f ca="1">OFFSET(手动更新!$D$2,(ROW(M16)-1)*4,0)</f>
        <v>0</v>
      </c>
      <c r="O18" s="13">
        <f ca="1">OFFSET(手动更新!$D$3,(ROW(M16)-1)*4,0)</f>
        <v>0</v>
      </c>
      <c r="P18" s="13">
        <f ca="1">OFFSET(手动更新!$D$4,(ROW(O16)-1)*4,0)</f>
        <v>0</v>
      </c>
      <c r="Q18" s="13" t="e">
        <f ca="1">VLOOKUP(R18,路演答辩顺序!$A:$B,2,FALSE)</f>
        <v>#N/A</v>
      </c>
      <c r="R18" s="13">
        <f ca="1">OFFSET(手动更新!$E$2,(ROW(Q16)-1)*4,0)</f>
        <v>0</v>
      </c>
      <c r="S18" s="13">
        <f ca="1">OFFSET(手动更新!$E$3,(ROW(Q16)-1)*4,0)</f>
        <v>0</v>
      </c>
      <c r="T18" s="13">
        <f ca="1">OFFSET(手动更新!$E$4,(ROW(S16)-1)*4,0)</f>
        <v>0</v>
      </c>
    </row>
    <row r="19" spans="1:20">
      <c r="A19" s="13" t="e">
        <f ca="1">VLOOKUP(B19,路演答辩顺序!$A:$B,2,FALSE)</f>
        <v>#N/A</v>
      </c>
      <c r="B19" s="13">
        <f ca="1">OFFSET(手动更新!$A$2,(ROW(A17)-1)*4,0)</f>
        <v>0</v>
      </c>
      <c r="C19" s="13">
        <f ca="1">OFFSET(手动更新!$A$3,(ROW(A17)-1)*4,0)</f>
        <v>0</v>
      </c>
      <c r="D19" s="13">
        <f ca="1">OFFSET(手动更新!$A$4,(ROW(C17)-1)*4,0)</f>
        <v>0</v>
      </c>
      <c r="E19" s="13" t="e">
        <f ca="1">VLOOKUP(F19,路演答辩顺序!$A:$B,2,FALSE)</f>
        <v>#N/A</v>
      </c>
      <c r="F19" s="13">
        <f ca="1">OFFSET(手动更新!$B$2,(ROW(E17)-1)*4,0)</f>
        <v>0</v>
      </c>
      <c r="G19" s="13">
        <f ca="1">OFFSET(手动更新!$B$3,(ROW(E17)-1)*4,0)</f>
        <v>0</v>
      </c>
      <c r="H19" s="13">
        <f ca="1">OFFSET(手动更新!$A$4,(ROW(G17)-1)*4,0)</f>
        <v>0</v>
      </c>
      <c r="I19" s="13" t="e">
        <f ca="1">VLOOKUP(J19,路演答辩顺序!$A:$B,2,FALSE)</f>
        <v>#N/A</v>
      </c>
      <c r="J19" s="13">
        <f ca="1">OFFSET(手动更新!$C$2,(ROW(I17)-1)*4,0)</f>
        <v>0</v>
      </c>
      <c r="K19" s="13">
        <f ca="1">OFFSET(手动更新!$C$3,(ROW(I17)-1)*4,0)</f>
        <v>0</v>
      </c>
      <c r="L19" s="13">
        <f ca="1">OFFSET(手动更新!$C$4,(ROW(K17)-1)*4,0)</f>
        <v>0</v>
      </c>
      <c r="M19" s="13" t="e">
        <f ca="1">VLOOKUP(N19,路演答辩顺序!$A:$B,2,FALSE)</f>
        <v>#N/A</v>
      </c>
      <c r="N19" s="13">
        <f ca="1">OFFSET(手动更新!$D$2,(ROW(M17)-1)*4,0)</f>
        <v>0</v>
      </c>
      <c r="O19" s="13">
        <f ca="1">OFFSET(手动更新!$D$3,(ROW(M17)-1)*4,0)</f>
        <v>0</v>
      </c>
      <c r="P19" s="13">
        <f ca="1">OFFSET(手动更新!$D$4,(ROW(O17)-1)*4,0)</f>
        <v>0</v>
      </c>
      <c r="Q19" s="13" t="e">
        <f ca="1">VLOOKUP(R19,路演答辩顺序!$A:$B,2,FALSE)</f>
        <v>#N/A</v>
      </c>
      <c r="R19" s="13">
        <f ca="1">OFFSET(手动更新!$E$2,(ROW(Q17)-1)*4,0)</f>
        <v>0</v>
      </c>
      <c r="S19" s="13">
        <f ca="1">OFFSET(手动更新!$E$3,(ROW(Q17)-1)*4,0)</f>
        <v>0</v>
      </c>
      <c r="T19" s="13">
        <f ca="1">OFFSET(手动更新!$E$4,(ROW(S17)-1)*4,0)</f>
        <v>0</v>
      </c>
    </row>
    <row r="20" spans="1:20">
      <c r="A20" s="13" t="e">
        <f ca="1">VLOOKUP(B20,路演答辩顺序!$A:$B,2,FALSE)</f>
        <v>#N/A</v>
      </c>
      <c r="B20" s="13">
        <f ca="1">OFFSET(手动更新!$A$2,(ROW(A18)-1)*4,0)</f>
        <v>0</v>
      </c>
      <c r="C20" s="13">
        <f ca="1">OFFSET(手动更新!$A$3,(ROW(A18)-1)*4,0)</f>
        <v>0</v>
      </c>
      <c r="D20" s="13">
        <f ca="1">OFFSET(手动更新!$A$4,(ROW(C18)-1)*4,0)</f>
        <v>0</v>
      </c>
      <c r="E20" s="13" t="e">
        <f ca="1">VLOOKUP(F20,路演答辩顺序!$A:$B,2,FALSE)</f>
        <v>#N/A</v>
      </c>
      <c r="F20" s="13">
        <f ca="1">OFFSET(手动更新!$B$2,(ROW(E18)-1)*4,0)</f>
        <v>0</v>
      </c>
      <c r="G20" s="13">
        <f ca="1">OFFSET(手动更新!$B$3,(ROW(E18)-1)*4,0)</f>
        <v>0</v>
      </c>
      <c r="H20" s="13">
        <f ca="1">OFFSET(手动更新!$A$4,(ROW(G18)-1)*4,0)</f>
        <v>0</v>
      </c>
      <c r="I20" s="13" t="e">
        <f ca="1">VLOOKUP(J20,路演答辩顺序!$A:$B,2,FALSE)</f>
        <v>#N/A</v>
      </c>
      <c r="J20" s="13">
        <f ca="1">OFFSET(手动更新!$C$2,(ROW(I18)-1)*4,0)</f>
        <v>0</v>
      </c>
      <c r="K20" s="13">
        <f ca="1">OFFSET(手动更新!$C$3,(ROW(I18)-1)*4,0)</f>
        <v>0</v>
      </c>
      <c r="L20" s="13">
        <f ca="1">OFFSET(手动更新!$C$4,(ROW(K18)-1)*4,0)</f>
        <v>0</v>
      </c>
      <c r="M20" s="13" t="e">
        <f ca="1">VLOOKUP(N20,路演答辩顺序!$A:$B,2,FALSE)</f>
        <v>#N/A</v>
      </c>
      <c r="N20" s="13">
        <f ca="1">OFFSET(手动更新!$D$2,(ROW(M18)-1)*4,0)</f>
        <v>0</v>
      </c>
      <c r="O20" s="13">
        <f ca="1">OFFSET(手动更新!$D$3,(ROW(M18)-1)*4,0)</f>
        <v>0</v>
      </c>
      <c r="P20" s="13">
        <f ca="1">OFFSET(手动更新!$D$4,(ROW(O18)-1)*4,0)</f>
        <v>0</v>
      </c>
      <c r="Q20" s="13" t="e">
        <f ca="1">VLOOKUP(R20,路演答辩顺序!$A:$B,2,FALSE)</f>
        <v>#N/A</v>
      </c>
      <c r="R20" s="13">
        <f ca="1">OFFSET(手动更新!$E$2,(ROW(Q18)-1)*4,0)</f>
        <v>0</v>
      </c>
      <c r="S20" s="13">
        <f ca="1">OFFSET(手动更新!$E$3,(ROW(Q18)-1)*4,0)</f>
        <v>0</v>
      </c>
      <c r="T20" s="13">
        <f ca="1">OFFSET(手动更新!$E$4,(ROW(S18)-1)*4,0)</f>
        <v>0</v>
      </c>
    </row>
    <row r="21" spans="1:20">
      <c r="A21" s="13" t="e">
        <f ca="1">VLOOKUP(B21,路演答辩顺序!$A:$B,2,FALSE)</f>
        <v>#N/A</v>
      </c>
      <c r="B21" s="13">
        <f ca="1">OFFSET(手动更新!$A$2,(ROW(A19)-1)*4,0)</f>
        <v>0</v>
      </c>
      <c r="C21" s="13">
        <f ca="1">OFFSET(手动更新!$A$3,(ROW(A19)-1)*4,0)</f>
        <v>0</v>
      </c>
      <c r="D21" s="13">
        <f ca="1">OFFSET(手动更新!$A$4,(ROW(C19)-1)*4,0)</f>
        <v>0</v>
      </c>
      <c r="E21" s="13" t="e">
        <f ca="1">VLOOKUP(F21,路演答辩顺序!$A:$B,2,FALSE)</f>
        <v>#N/A</v>
      </c>
      <c r="F21" s="13">
        <f ca="1">OFFSET(手动更新!$B$2,(ROW(E19)-1)*4,0)</f>
        <v>0</v>
      </c>
      <c r="G21" s="13">
        <f ca="1">OFFSET(手动更新!$B$3,(ROW(E19)-1)*4,0)</f>
        <v>0</v>
      </c>
      <c r="H21" s="13">
        <f ca="1">OFFSET(手动更新!$A$4,(ROW(G19)-1)*4,0)</f>
        <v>0</v>
      </c>
      <c r="I21" s="13" t="e">
        <f ca="1">VLOOKUP(J21,路演答辩顺序!$A:$B,2,FALSE)</f>
        <v>#N/A</v>
      </c>
      <c r="J21" s="13">
        <f ca="1">OFFSET(手动更新!$C$2,(ROW(I19)-1)*4,0)</f>
        <v>0</v>
      </c>
      <c r="K21" s="13">
        <f ca="1">OFFSET(手动更新!$C$3,(ROW(I19)-1)*4,0)</f>
        <v>0</v>
      </c>
      <c r="L21" s="13">
        <f ca="1">OFFSET(手动更新!$C$4,(ROW(K19)-1)*4,0)</f>
        <v>0</v>
      </c>
      <c r="M21" s="13" t="e">
        <f ca="1">VLOOKUP(N21,路演答辩顺序!$A:$B,2,FALSE)</f>
        <v>#N/A</v>
      </c>
      <c r="N21" s="13">
        <f ca="1">OFFSET(手动更新!$D$2,(ROW(M19)-1)*4,0)</f>
        <v>0</v>
      </c>
      <c r="O21" s="13">
        <f ca="1">OFFSET(手动更新!$D$3,(ROW(M19)-1)*4,0)</f>
        <v>0</v>
      </c>
      <c r="P21" s="13">
        <f ca="1">OFFSET(手动更新!$D$4,(ROW(O19)-1)*4,0)</f>
        <v>0</v>
      </c>
      <c r="Q21" s="13" t="e">
        <f ca="1">VLOOKUP(R21,路演答辩顺序!$A:$B,2,FALSE)</f>
        <v>#N/A</v>
      </c>
      <c r="R21" s="13">
        <f ca="1">OFFSET(手动更新!$E$2,(ROW(Q19)-1)*4,0)</f>
        <v>0</v>
      </c>
      <c r="S21" s="13">
        <f ca="1">OFFSET(手动更新!$E$3,(ROW(Q19)-1)*4,0)</f>
        <v>0</v>
      </c>
      <c r="T21" s="13">
        <f ca="1">OFFSET(手动更新!$E$4,(ROW(S19)-1)*4,0)</f>
        <v>0</v>
      </c>
    </row>
    <row r="22" spans="1:20">
      <c r="A22" s="13" t="e">
        <f ca="1">VLOOKUP(B22,路演答辩顺序!$A:$B,2,FALSE)</f>
        <v>#N/A</v>
      </c>
      <c r="B22" s="13">
        <f ca="1">OFFSET(手动更新!$A$2,(ROW(A20)-1)*4,0)</f>
        <v>0</v>
      </c>
      <c r="C22" s="13">
        <f ca="1">OFFSET(手动更新!$A$3,(ROW(A20)-1)*4,0)</f>
        <v>0</v>
      </c>
      <c r="D22" s="13">
        <f ca="1">OFFSET(手动更新!$A$4,(ROW(C20)-1)*4,0)</f>
        <v>0</v>
      </c>
      <c r="E22" s="13" t="e">
        <f ca="1">VLOOKUP(F22,路演答辩顺序!$A:$B,2,FALSE)</f>
        <v>#N/A</v>
      </c>
      <c r="F22" s="13">
        <f ca="1">OFFSET(手动更新!$B$2,(ROW(E20)-1)*4,0)</f>
        <v>0</v>
      </c>
      <c r="G22" s="13">
        <f ca="1">OFFSET(手动更新!$B$3,(ROW(E20)-1)*4,0)</f>
        <v>0</v>
      </c>
      <c r="H22" s="13">
        <f ca="1">OFFSET(手动更新!$A$4,(ROW(G20)-1)*4,0)</f>
        <v>0</v>
      </c>
      <c r="I22" s="13" t="e">
        <f ca="1">VLOOKUP(J22,路演答辩顺序!$A:$B,2,FALSE)</f>
        <v>#N/A</v>
      </c>
      <c r="J22" s="13">
        <f ca="1">OFFSET(手动更新!$C$2,(ROW(I20)-1)*4,0)</f>
        <v>0</v>
      </c>
      <c r="K22" s="13">
        <f ca="1">OFFSET(手动更新!$C$3,(ROW(I20)-1)*4,0)</f>
        <v>0</v>
      </c>
      <c r="L22" s="13">
        <f ca="1">OFFSET(手动更新!$C$4,(ROW(K20)-1)*4,0)</f>
        <v>0</v>
      </c>
      <c r="M22" s="13" t="e">
        <f ca="1">VLOOKUP(N22,路演答辩顺序!$A:$B,2,FALSE)</f>
        <v>#N/A</v>
      </c>
      <c r="N22" s="13">
        <f ca="1">OFFSET(手动更新!$D$2,(ROW(M20)-1)*4,0)</f>
        <v>0</v>
      </c>
      <c r="O22" s="13">
        <f ca="1">OFFSET(手动更新!$D$3,(ROW(M20)-1)*4,0)</f>
        <v>0</v>
      </c>
      <c r="P22" s="13">
        <f ca="1">OFFSET(手动更新!$D$4,(ROW(O20)-1)*4,0)</f>
        <v>0</v>
      </c>
      <c r="Q22" s="13" t="e">
        <f ca="1">VLOOKUP(R22,路演答辩顺序!$A:$B,2,FALSE)</f>
        <v>#N/A</v>
      </c>
      <c r="R22" s="13">
        <f ca="1">OFFSET(手动更新!$E$2,(ROW(Q20)-1)*4,0)</f>
        <v>0</v>
      </c>
      <c r="S22" s="13">
        <f ca="1">OFFSET(手动更新!$E$3,(ROW(Q20)-1)*4,0)</f>
        <v>0</v>
      </c>
      <c r="T22" s="13">
        <f ca="1">OFFSET(手动更新!$E$4,(ROW(S20)-1)*4,0)</f>
        <v>0</v>
      </c>
    </row>
    <row r="23" spans="1:20">
      <c r="A23" s="13" t="e">
        <f ca="1">VLOOKUP(B23,路演答辩顺序!$A:$B,2,FALSE)</f>
        <v>#N/A</v>
      </c>
      <c r="B23" s="13">
        <f ca="1">OFFSET(手动更新!$A$2,(ROW(A21)-1)*4,0)</f>
        <v>0</v>
      </c>
      <c r="C23" s="13">
        <f ca="1">OFFSET(手动更新!$A$3,(ROW(A21)-1)*4,0)</f>
        <v>0</v>
      </c>
      <c r="D23" s="13">
        <f ca="1">OFFSET(手动更新!$A$4,(ROW(C21)-1)*4,0)</f>
        <v>0</v>
      </c>
      <c r="E23" s="13" t="e">
        <f ca="1">VLOOKUP(F23,路演答辩顺序!$A:$B,2,FALSE)</f>
        <v>#N/A</v>
      </c>
      <c r="F23" s="13">
        <f ca="1">OFFSET(手动更新!$B$2,(ROW(E21)-1)*4,0)</f>
        <v>0</v>
      </c>
      <c r="G23" s="13">
        <f ca="1">OFFSET(手动更新!$B$3,(ROW(E21)-1)*4,0)</f>
        <v>0</v>
      </c>
      <c r="H23" s="13">
        <f ca="1">OFFSET(手动更新!$A$4,(ROW(G21)-1)*4,0)</f>
        <v>0</v>
      </c>
      <c r="I23" s="13" t="e">
        <f ca="1">VLOOKUP(J23,路演答辩顺序!$A:$B,2,FALSE)</f>
        <v>#N/A</v>
      </c>
      <c r="J23" s="13">
        <f ca="1">OFFSET(手动更新!$C$2,(ROW(I21)-1)*4,0)</f>
        <v>0</v>
      </c>
      <c r="K23" s="13">
        <f ca="1">OFFSET(手动更新!$C$3,(ROW(I21)-1)*4,0)</f>
        <v>0</v>
      </c>
      <c r="L23" s="13">
        <f ca="1">OFFSET(手动更新!$C$4,(ROW(K21)-1)*4,0)</f>
        <v>0</v>
      </c>
      <c r="M23" s="13" t="e">
        <f ca="1">VLOOKUP(N23,路演答辩顺序!$A:$B,2,FALSE)</f>
        <v>#N/A</v>
      </c>
      <c r="N23" s="13">
        <f ca="1">OFFSET(手动更新!$D$2,(ROW(M21)-1)*4,0)</f>
        <v>0</v>
      </c>
      <c r="O23" s="13">
        <f ca="1">OFFSET(手动更新!$D$3,(ROW(M21)-1)*4,0)</f>
        <v>0</v>
      </c>
      <c r="P23" s="13">
        <f ca="1">OFFSET(手动更新!$D$4,(ROW(O21)-1)*4,0)</f>
        <v>0</v>
      </c>
      <c r="Q23" s="13" t="e">
        <f ca="1">VLOOKUP(R23,路演答辩顺序!$A:$B,2,FALSE)</f>
        <v>#N/A</v>
      </c>
      <c r="R23" s="13">
        <f ca="1">OFFSET(手动更新!$E$2,(ROW(Q21)-1)*4,0)</f>
        <v>0</v>
      </c>
      <c r="S23" s="13">
        <f ca="1">OFFSET(手动更新!$E$3,(ROW(Q21)-1)*4,0)</f>
        <v>0</v>
      </c>
      <c r="T23" s="13">
        <f ca="1">OFFSET(手动更新!$E$4,(ROW(S21)-1)*4,0)</f>
        <v>0</v>
      </c>
    </row>
    <row r="24" spans="1:20">
      <c r="A24" s="13" t="e">
        <f ca="1">VLOOKUP(B24,路演答辩顺序!$A:$B,2,FALSE)</f>
        <v>#N/A</v>
      </c>
      <c r="B24" s="13">
        <f ca="1">OFFSET(手动更新!$A$2,(ROW(A22)-1)*4,0)</f>
        <v>0</v>
      </c>
      <c r="C24" s="13">
        <f ca="1">OFFSET(手动更新!$A$3,(ROW(A22)-1)*4,0)</f>
        <v>0</v>
      </c>
      <c r="D24" s="13">
        <f ca="1">OFFSET(手动更新!$A$4,(ROW(C22)-1)*4,0)</f>
        <v>0</v>
      </c>
      <c r="E24" s="13" t="e">
        <f ca="1">VLOOKUP(F24,路演答辩顺序!$A:$B,2,FALSE)</f>
        <v>#N/A</v>
      </c>
      <c r="F24" s="13">
        <f ca="1">OFFSET(手动更新!$B$2,(ROW(E22)-1)*4,0)</f>
        <v>0</v>
      </c>
      <c r="G24" s="13">
        <f ca="1">OFFSET(手动更新!$B$3,(ROW(E22)-1)*4,0)</f>
        <v>0</v>
      </c>
      <c r="H24" s="13">
        <f ca="1">OFFSET(手动更新!$A$4,(ROW(G22)-1)*4,0)</f>
        <v>0</v>
      </c>
      <c r="I24" s="13" t="e">
        <f ca="1">VLOOKUP(J24,路演答辩顺序!$A:$B,2,FALSE)</f>
        <v>#N/A</v>
      </c>
      <c r="J24" s="13">
        <f ca="1">OFFSET(手动更新!$C$2,(ROW(I22)-1)*4,0)</f>
        <v>0</v>
      </c>
      <c r="K24" s="13">
        <f ca="1">OFFSET(手动更新!$C$3,(ROW(I22)-1)*4,0)</f>
        <v>0</v>
      </c>
      <c r="L24" s="13">
        <f ca="1">OFFSET(手动更新!$C$4,(ROW(K22)-1)*4,0)</f>
        <v>0</v>
      </c>
      <c r="M24" s="13" t="e">
        <f ca="1">VLOOKUP(N24,路演答辩顺序!$A:$B,2,FALSE)</f>
        <v>#N/A</v>
      </c>
      <c r="N24" s="13">
        <f ca="1">OFFSET(手动更新!$D$2,(ROW(M22)-1)*4,0)</f>
        <v>0</v>
      </c>
      <c r="O24" s="13">
        <f ca="1">OFFSET(手动更新!$D$3,(ROW(M22)-1)*4,0)</f>
        <v>0</v>
      </c>
      <c r="P24" s="13">
        <f ca="1">OFFSET(手动更新!$D$4,(ROW(O22)-1)*4,0)</f>
        <v>0</v>
      </c>
      <c r="Q24" s="13" t="e">
        <f ca="1">VLOOKUP(R24,路演答辩顺序!$A:$B,2,FALSE)</f>
        <v>#N/A</v>
      </c>
      <c r="R24" s="13">
        <f ca="1">OFFSET(手动更新!$E$2,(ROW(Q22)-1)*4,0)</f>
        <v>0</v>
      </c>
      <c r="S24" s="13">
        <f ca="1">OFFSET(手动更新!$E$3,(ROW(Q22)-1)*4,0)</f>
        <v>0</v>
      </c>
      <c r="T24" s="13">
        <f ca="1">OFFSET(手动更新!$E$4,(ROW(S22)-1)*4,0)</f>
        <v>0</v>
      </c>
    </row>
    <row r="25" spans="1:20">
      <c r="A25" s="13" t="e">
        <f ca="1">VLOOKUP(B25,路演答辩顺序!$A:$B,2,FALSE)</f>
        <v>#N/A</v>
      </c>
      <c r="B25" s="13">
        <f ca="1">OFFSET(手动更新!$A$2,(ROW(A23)-1)*4,0)</f>
        <v>0</v>
      </c>
      <c r="C25" s="13">
        <f ca="1">OFFSET(手动更新!$A$3,(ROW(A23)-1)*4,0)</f>
        <v>0</v>
      </c>
      <c r="D25" s="13">
        <f ca="1">OFFSET(手动更新!$A$4,(ROW(C23)-1)*4,0)</f>
        <v>0</v>
      </c>
      <c r="E25" s="13" t="e">
        <f ca="1">VLOOKUP(F25,路演答辩顺序!$A:$B,2,FALSE)</f>
        <v>#N/A</v>
      </c>
      <c r="F25" s="13">
        <f ca="1">OFFSET(手动更新!$B$2,(ROW(E23)-1)*4,0)</f>
        <v>0</v>
      </c>
      <c r="G25" s="13">
        <f ca="1">OFFSET(手动更新!$B$3,(ROW(E23)-1)*4,0)</f>
        <v>0</v>
      </c>
      <c r="H25" s="13">
        <f ca="1">OFFSET(手动更新!$A$4,(ROW(G23)-1)*4,0)</f>
        <v>0</v>
      </c>
      <c r="I25" s="13" t="e">
        <f ca="1">VLOOKUP(J25,路演答辩顺序!$A:$B,2,FALSE)</f>
        <v>#N/A</v>
      </c>
      <c r="J25" s="13">
        <f ca="1">OFFSET(手动更新!$C$2,(ROW(I23)-1)*4,0)</f>
        <v>0</v>
      </c>
      <c r="K25" s="13">
        <f ca="1">OFFSET(手动更新!$C$3,(ROW(I23)-1)*4,0)</f>
        <v>0</v>
      </c>
      <c r="L25" s="13">
        <f ca="1">OFFSET(手动更新!$C$4,(ROW(K23)-1)*4,0)</f>
        <v>0</v>
      </c>
      <c r="M25" s="13" t="e">
        <f ca="1">VLOOKUP(N25,路演答辩顺序!$A:$B,2,FALSE)</f>
        <v>#N/A</v>
      </c>
      <c r="N25" s="13">
        <f ca="1">OFFSET(手动更新!$D$2,(ROW(M23)-1)*4,0)</f>
        <v>0</v>
      </c>
      <c r="O25" s="13">
        <f ca="1">OFFSET(手动更新!$D$3,(ROW(M23)-1)*4,0)</f>
        <v>0</v>
      </c>
      <c r="P25" s="13">
        <f ca="1">OFFSET(手动更新!$D$4,(ROW(O23)-1)*4,0)</f>
        <v>0</v>
      </c>
      <c r="Q25" s="13" t="e">
        <f ca="1">VLOOKUP(R25,路演答辩顺序!$A:$B,2,FALSE)</f>
        <v>#N/A</v>
      </c>
      <c r="R25" s="13">
        <f ca="1">OFFSET(手动更新!$E$2,(ROW(Q23)-1)*4,0)</f>
        <v>0</v>
      </c>
      <c r="S25" s="13">
        <f ca="1">OFFSET(手动更新!$E$3,(ROW(Q23)-1)*4,0)</f>
        <v>0</v>
      </c>
      <c r="T25" s="13">
        <f ca="1">OFFSET(手动更新!$E$4,(ROW(S23)-1)*4,0)</f>
        <v>0</v>
      </c>
    </row>
    <row r="26" spans="1:20">
      <c r="A26" s="13" t="e">
        <f ca="1">VLOOKUP(B26,路演答辩顺序!$A:$B,2,FALSE)</f>
        <v>#N/A</v>
      </c>
      <c r="B26" s="13">
        <f ca="1">OFFSET(手动更新!$A$2,(ROW(A24)-1)*4,0)</f>
        <v>0</v>
      </c>
      <c r="C26" s="13">
        <f ca="1">OFFSET(手动更新!$A$3,(ROW(A24)-1)*4,0)</f>
        <v>0</v>
      </c>
      <c r="D26" s="13">
        <f ca="1">OFFSET(手动更新!$A$4,(ROW(C24)-1)*4,0)</f>
        <v>0</v>
      </c>
      <c r="E26" s="13" t="e">
        <f ca="1">VLOOKUP(F26,路演答辩顺序!$A:$B,2,FALSE)</f>
        <v>#N/A</v>
      </c>
      <c r="F26" s="13">
        <f ca="1">OFFSET(手动更新!$B$2,(ROW(E24)-1)*4,0)</f>
        <v>0</v>
      </c>
      <c r="G26" s="13">
        <f ca="1">OFFSET(手动更新!$B$3,(ROW(E24)-1)*4,0)</f>
        <v>0</v>
      </c>
      <c r="H26" s="13">
        <f ca="1">OFFSET(手动更新!$A$4,(ROW(G24)-1)*4,0)</f>
        <v>0</v>
      </c>
      <c r="I26" s="13" t="e">
        <f ca="1">VLOOKUP(J26,路演答辩顺序!$A:$B,2,FALSE)</f>
        <v>#N/A</v>
      </c>
      <c r="J26" s="13">
        <f ca="1">OFFSET(手动更新!$C$2,(ROW(I24)-1)*4,0)</f>
        <v>0</v>
      </c>
      <c r="K26" s="13">
        <f ca="1">OFFSET(手动更新!$C$3,(ROW(I24)-1)*4,0)</f>
        <v>0</v>
      </c>
      <c r="L26" s="13">
        <f ca="1">OFFSET(手动更新!$C$4,(ROW(K24)-1)*4,0)</f>
        <v>0</v>
      </c>
      <c r="M26" s="13" t="e">
        <f ca="1">VLOOKUP(N26,路演答辩顺序!$A:$B,2,FALSE)</f>
        <v>#N/A</v>
      </c>
      <c r="N26" s="13">
        <f ca="1">OFFSET(手动更新!$D$2,(ROW(M24)-1)*4,0)</f>
        <v>0</v>
      </c>
      <c r="O26" s="13">
        <f ca="1">OFFSET(手动更新!$D$3,(ROW(M24)-1)*4,0)</f>
        <v>0</v>
      </c>
      <c r="P26" s="13">
        <f ca="1">OFFSET(手动更新!$D$4,(ROW(O24)-1)*4,0)</f>
        <v>0</v>
      </c>
      <c r="Q26" s="13" t="e">
        <f ca="1">VLOOKUP(R26,路演答辩顺序!$A:$B,2,FALSE)</f>
        <v>#N/A</v>
      </c>
      <c r="R26" s="13">
        <f ca="1">OFFSET(手动更新!$E$2,(ROW(Q24)-1)*4,0)</f>
        <v>0</v>
      </c>
      <c r="S26" s="13">
        <f ca="1">OFFSET(手动更新!$E$3,(ROW(Q24)-1)*4,0)</f>
        <v>0</v>
      </c>
      <c r="T26" s="13">
        <f ca="1">OFFSET(手动更新!$E$4,(ROW(S24)-1)*4,0)</f>
        <v>0</v>
      </c>
    </row>
    <row r="27" spans="1:20">
      <c r="A27" s="13" t="e">
        <f ca="1">VLOOKUP(B27,路演答辩顺序!$A:$B,2,FALSE)</f>
        <v>#N/A</v>
      </c>
      <c r="B27" s="13">
        <f ca="1">OFFSET(手动更新!$A$2,(ROW(A25)-1)*4,0)</f>
        <v>0</v>
      </c>
      <c r="C27" s="13">
        <f ca="1">OFFSET(手动更新!$A$3,(ROW(A25)-1)*4,0)</f>
        <v>0</v>
      </c>
      <c r="D27" s="13">
        <f ca="1">OFFSET(手动更新!$A$4,(ROW(C25)-1)*4,0)</f>
        <v>0</v>
      </c>
      <c r="E27" s="13" t="e">
        <f ca="1">VLOOKUP(F27,路演答辩顺序!$A:$B,2,FALSE)</f>
        <v>#N/A</v>
      </c>
      <c r="F27" s="13">
        <f ca="1">OFFSET(手动更新!$B$2,(ROW(E25)-1)*4,0)</f>
        <v>0</v>
      </c>
      <c r="G27" s="13">
        <f ca="1">OFFSET(手动更新!$B$3,(ROW(E25)-1)*4,0)</f>
        <v>0</v>
      </c>
      <c r="H27" s="13">
        <f ca="1">OFFSET(手动更新!$A$4,(ROW(G25)-1)*4,0)</f>
        <v>0</v>
      </c>
      <c r="I27" s="13" t="e">
        <f ca="1">VLOOKUP(J27,路演答辩顺序!$A:$B,2,FALSE)</f>
        <v>#N/A</v>
      </c>
      <c r="J27" s="13">
        <f ca="1">OFFSET(手动更新!$C$2,(ROW(I25)-1)*4,0)</f>
        <v>0</v>
      </c>
      <c r="K27" s="13">
        <f ca="1">OFFSET(手动更新!$C$3,(ROW(I25)-1)*4,0)</f>
        <v>0</v>
      </c>
      <c r="L27" s="13">
        <f ca="1">OFFSET(手动更新!$C$4,(ROW(K25)-1)*4,0)</f>
        <v>0</v>
      </c>
      <c r="M27" s="13" t="e">
        <f ca="1">VLOOKUP(N27,路演答辩顺序!$A:$B,2,FALSE)</f>
        <v>#N/A</v>
      </c>
      <c r="N27" s="13">
        <f ca="1">OFFSET(手动更新!$D$2,(ROW(M25)-1)*4,0)</f>
        <v>0</v>
      </c>
      <c r="O27" s="13">
        <f ca="1">OFFSET(手动更新!$D$3,(ROW(M25)-1)*4,0)</f>
        <v>0</v>
      </c>
      <c r="P27" s="13">
        <f ca="1">OFFSET(手动更新!$D$4,(ROW(O25)-1)*4,0)</f>
        <v>0</v>
      </c>
      <c r="Q27" s="13" t="e">
        <f ca="1">VLOOKUP(R27,路演答辩顺序!$A:$B,2,FALSE)</f>
        <v>#N/A</v>
      </c>
      <c r="R27" s="13">
        <f ca="1">OFFSET(手动更新!$E$2,(ROW(Q25)-1)*4,0)</f>
        <v>0</v>
      </c>
      <c r="S27" s="13">
        <f ca="1">OFFSET(手动更新!$E$3,(ROW(Q25)-1)*4,0)</f>
        <v>0</v>
      </c>
      <c r="T27" s="13">
        <f ca="1">OFFSET(手动更新!$E$4,(ROW(S25)-1)*4,0)</f>
        <v>0</v>
      </c>
    </row>
    <row r="28" spans="1:20">
      <c r="A28" s="13" t="e">
        <f ca="1">VLOOKUP(B28,路演答辩顺序!$A:$B,2,FALSE)</f>
        <v>#N/A</v>
      </c>
      <c r="B28" s="13">
        <f ca="1">OFFSET(手动更新!$A$2,(ROW(A26)-1)*4,0)</f>
        <v>0</v>
      </c>
      <c r="C28" s="13">
        <f ca="1">OFFSET(手动更新!$A$3,(ROW(A26)-1)*4,0)</f>
        <v>0</v>
      </c>
      <c r="D28" s="13">
        <f ca="1">OFFSET(手动更新!$A$4,(ROW(C26)-1)*4,0)</f>
        <v>0</v>
      </c>
      <c r="E28" s="13" t="e">
        <f ca="1">VLOOKUP(F28,路演答辩顺序!$A:$B,2,FALSE)</f>
        <v>#N/A</v>
      </c>
      <c r="F28" s="13">
        <f ca="1">OFFSET(手动更新!$B$2,(ROW(E26)-1)*4,0)</f>
        <v>0</v>
      </c>
      <c r="G28" s="13">
        <f ca="1">OFFSET(手动更新!$B$3,(ROW(E26)-1)*4,0)</f>
        <v>0</v>
      </c>
      <c r="H28" s="13">
        <f ca="1">OFFSET(手动更新!$A$4,(ROW(G26)-1)*4,0)</f>
        <v>0</v>
      </c>
      <c r="I28" s="13" t="e">
        <f ca="1">VLOOKUP(J28,路演答辩顺序!$A:$B,2,FALSE)</f>
        <v>#N/A</v>
      </c>
      <c r="J28" s="13">
        <f ca="1">OFFSET(手动更新!$C$2,(ROW(I26)-1)*4,0)</f>
        <v>0</v>
      </c>
      <c r="K28" s="13">
        <f ca="1">OFFSET(手动更新!$C$3,(ROW(I26)-1)*4,0)</f>
        <v>0</v>
      </c>
      <c r="L28" s="13">
        <f ca="1">OFFSET(手动更新!$C$4,(ROW(K26)-1)*4,0)</f>
        <v>0</v>
      </c>
      <c r="M28" s="13" t="e">
        <f ca="1">VLOOKUP(N28,路演答辩顺序!$A:$B,2,FALSE)</f>
        <v>#N/A</v>
      </c>
      <c r="N28" s="13">
        <f ca="1">OFFSET(手动更新!$D$2,(ROW(M26)-1)*4,0)</f>
        <v>0</v>
      </c>
      <c r="O28" s="13">
        <f ca="1">OFFSET(手动更新!$D$3,(ROW(M26)-1)*4,0)</f>
        <v>0</v>
      </c>
      <c r="P28" s="13">
        <f ca="1">OFFSET(手动更新!$D$4,(ROW(O26)-1)*4,0)</f>
        <v>0</v>
      </c>
      <c r="Q28" s="13" t="e">
        <f ca="1">VLOOKUP(R28,路演答辩顺序!$A:$B,2,FALSE)</f>
        <v>#N/A</v>
      </c>
      <c r="R28" s="13">
        <f ca="1">OFFSET(手动更新!$E$2,(ROW(Q26)-1)*4,0)</f>
        <v>0</v>
      </c>
      <c r="S28" s="13">
        <f ca="1">OFFSET(手动更新!$E$3,(ROW(Q26)-1)*4,0)</f>
        <v>0</v>
      </c>
      <c r="T28" s="13">
        <f ca="1">OFFSET(手动更新!$E$4,(ROW(S26)-1)*4,0)</f>
        <v>0</v>
      </c>
    </row>
  </sheetData>
  <mergeCells count="5">
    <mergeCell ref="A1:D1"/>
    <mergeCell ref="E1:H1"/>
    <mergeCell ref="I1:L1"/>
    <mergeCell ref="M1:P1"/>
    <mergeCell ref="Q1:T1"/>
  </mergeCells>
  <conditionalFormatting sqref="$A1:$XFD1048576">
    <cfRule type="cellIs" dxfId="0" priority="1" operator="equal">
      <formula>"南京航空航天大学"</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8"/>
  <sheetViews>
    <sheetView tabSelected="1" workbookViewId="0">
      <selection activeCell="H8" sqref="H8"/>
    </sheetView>
  </sheetViews>
  <sheetFormatPr defaultColWidth="8.5" defaultRowHeight="13.5" outlineLevelCol="4"/>
  <sheetData>
    <row r="1" spans="1:5">
      <c r="A1" s="8">
        <v>9</v>
      </c>
      <c r="B1" s="8">
        <v>8</v>
      </c>
      <c r="C1" s="8">
        <v>6</v>
      </c>
      <c r="D1" s="8">
        <v>10</v>
      </c>
      <c r="E1" s="8">
        <v>7</v>
      </c>
    </row>
    <row r="2" spans="1:5">
      <c r="A2" s="9" t="s">
        <v>9</v>
      </c>
      <c r="B2" s="9" t="s">
        <v>10</v>
      </c>
      <c r="C2" s="9" t="s">
        <v>11</v>
      </c>
      <c r="D2" s="9" t="s">
        <v>12</v>
      </c>
      <c r="E2" s="9" t="s">
        <v>13</v>
      </c>
    </row>
    <row r="3" spans="1:5">
      <c r="A3" s="10">
        <v>89.6</v>
      </c>
      <c r="B3" s="10">
        <v>89.97</v>
      </c>
      <c r="C3" s="10">
        <v>89.03</v>
      </c>
      <c r="D3" s="10">
        <v>89.56</v>
      </c>
      <c r="E3" s="10">
        <v>89.09</v>
      </c>
    </row>
    <row r="4" spans="1:5">
      <c r="A4" s="11" t="s">
        <v>14</v>
      </c>
      <c r="B4" s="11" t="s">
        <v>14</v>
      </c>
      <c r="C4" s="11" t="s">
        <v>14</v>
      </c>
      <c r="D4" s="11" t="s">
        <v>14</v>
      </c>
      <c r="E4" s="11" t="s">
        <v>14</v>
      </c>
    </row>
    <row r="5" spans="1:5">
      <c r="A5" s="8">
        <v>3</v>
      </c>
      <c r="B5" s="8">
        <v>11</v>
      </c>
      <c r="C5" s="8">
        <v>4</v>
      </c>
      <c r="D5" s="8">
        <v>12</v>
      </c>
      <c r="E5" s="8">
        <v>4</v>
      </c>
    </row>
    <row r="6" spans="1:5">
      <c r="A6" s="9" t="s">
        <v>15</v>
      </c>
      <c r="B6" s="9" t="s">
        <v>16</v>
      </c>
      <c r="C6" s="9" t="s">
        <v>17</v>
      </c>
      <c r="D6" s="9" t="s">
        <v>18</v>
      </c>
      <c r="E6" s="9" t="s">
        <v>19</v>
      </c>
    </row>
    <row r="7" spans="1:5">
      <c r="A7" s="10">
        <v>88.63</v>
      </c>
      <c r="B7" s="10">
        <v>89.71</v>
      </c>
      <c r="C7" s="10">
        <v>88.17</v>
      </c>
      <c r="D7" s="10">
        <v>88.97</v>
      </c>
      <c r="E7" s="10">
        <v>88.81</v>
      </c>
    </row>
    <row r="8" spans="1:5">
      <c r="A8" s="11" t="s">
        <v>20</v>
      </c>
      <c r="B8" s="11" t="s">
        <v>20</v>
      </c>
      <c r="C8" s="11" t="s">
        <v>20</v>
      </c>
      <c r="D8" s="11" t="s">
        <v>20</v>
      </c>
      <c r="E8" s="11" t="s">
        <v>20</v>
      </c>
    </row>
    <row r="9" spans="1:5">
      <c r="A9" s="8">
        <v>8</v>
      </c>
      <c r="B9" s="8">
        <v>9</v>
      </c>
      <c r="C9" s="8">
        <v>9</v>
      </c>
      <c r="D9" s="8">
        <v>4</v>
      </c>
      <c r="E9" s="8">
        <v>8</v>
      </c>
    </row>
    <row r="10" spans="1:5">
      <c r="A10" s="9" t="s">
        <v>21</v>
      </c>
      <c r="B10" s="9" t="s">
        <v>22</v>
      </c>
      <c r="C10" s="9" t="s">
        <v>23</v>
      </c>
      <c r="D10" s="9" t="s">
        <v>24</v>
      </c>
      <c r="E10" s="9" t="s">
        <v>25</v>
      </c>
    </row>
    <row r="11" spans="1:5">
      <c r="A11" s="10">
        <v>87.49</v>
      </c>
      <c r="B11" s="10">
        <v>89.31</v>
      </c>
      <c r="C11" s="10">
        <v>88.03</v>
      </c>
      <c r="D11" s="10">
        <v>87.44</v>
      </c>
      <c r="E11" s="10">
        <v>88</v>
      </c>
    </row>
    <row r="12" spans="1:5">
      <c r="A12" s="11" t="s">
        <v>26</v>
      </c>
      <c r="B12" s="11" t="s">
        <v>26</v>
      </c>
      <c r="C12" s="11" t="s">
        <v>26</v>
      </c>
      <c r="D12" s="11" t="s">
        <v>26</v>
      </c>
      <c r="E12" s="11" t="s">
        <v>26</v>
      </c>
    </row>
    <row r="13" spans="1:5">
      <c r="A13" s="8">
        <v>1</v>
      </c>
      <c r="B13" s="8">
        <v>5</v>
      </c>
      <c r="C13" s="8">
        <v>11</v>
      </c>
      <c r="D13" s="8">
        <v>6</v>
      </c>
      <c r="E13" s="8">
        <v>11</v>
      </c>
    </row>
    <row r="14" spans="1:5">
      <c r="A14" s="9" t="s">
        <v>27</v>
      </c>
      <c r="B14" s="9" t="s">
        <v>28</v>
      </c>
      <c r="C14" s="9" t="s">
        <v>29</v>
      </c>
      <c r="D14" s="9" t="s">
        <v>30</v>
      </c>
      <c r="E14" s="9" t="s">
        <v>31</v>
      </c>
    </row>
    <row r="15" spans="1:5">
      <c r="A15" s="10">
        <v>86.44</v>
      </c>
      <c r="B15" s="10">
        <v>87.73</v>
      </c>
      <c r="C15" s="10">
        <v>86.8</v>
      </c>
      <c r="D15" s="10">
        <v>87.39</v>
      </c>
      <c r="E15" s="10">
        <v>87.09</v>
      </c>
    </row>
    <row r="16" spans="1:5">
      <c r="A16" s="11" t="s">
        <v>32</v>
      </c>
      <c r="B16" s="11" t="s">
        <v>32</v>
      </c>
      <c r="C16" s="11" t="s">
        <v>32</v>
      </c>
      <c r="D16" s="11" t="s">
        <v>32</v>
      </c>
      <c r="E16" s="11" t="s">
        <v>32</v>
      </c>
    </row>
    <row r="17" spans="1:5">
      <c r="A17" s="8">
        <v>4</v>
      </c>
      <c r="B17" s="8">
        <v>1</v>
      </c>
      <c r="C17" s="8">
        <v>8</v>
      </c>
      <c r="D17" s="8">
        <v>1</v>
      </c>
      <c r="E17" s="8">
        <v>1</v>
      </c>
    </row>
    <row r="18" spans="1:5">
      <c r="A18" s="9" t="s">
        <v>33</v>
      </c>
      <c r="B18" s="9" t="s">
        <v>34</v>
      </c>
      <c r="C18" s="9" t="s">
        <v>35</v>
      </c>
      <c r="D18" s="9" t="s">
        <v>36</v>
      </c>
      <c r="E18" s="9" t="s">
        <v>37</v>
      </c>
    </row>
    <row r="19" spans="1:5">
      <c r="A19" s="10">
        <v>86.27</v>
      </c>
      <c r="B19" s="10">
        <v>86.51</v>
      </c>
      <c r="C19" s="10">
        <v>85.63</v>
      </c>
      <c r="D19" s="10">
        <v>86.17</v>
      </c>
      <c r="E19" s="10">
        <v>87.07</v>
      </c>
    </row>
    <row r="20" spans="1:5">
      <c r="A20" s="11" t="s">
        <v>38</v>
      </c>
      <c r="B20" s="11" t="s">
        <v>38</v>
      </c>
      <c r="C20" s="11" t="s">
        <v>38</v>
      </c>
      <c r="D20" s="11" t="s">
        <v>38</v>
      </c>
      <c r="E20" s="11" t="s">
        <v>38</v>
      </c>
    </row>
    <row r="21" spans="1:5">
      <c r="A21" s="8">
        <v>7</v>
      </c>
      <c r="B21" s="8">
        <v>4</v>
      </c>
      <c r="C21" s="8">
        <v>7</v>
      </c>
      <c r="D21" s="8">
        <v>5</v>
      </c>
      <c r="E21" s="8">
        <v>10</v>
      </c>
    </row>
    <row r="22" spans="1:5">
      <c r="A22" s="9" t="s">
        <v>39</v>
      </c>
      <c r="B22" s="9" t="s">
        <v>40</v>
      </c>
      <c r="C22" s="9" t="s">
        <v>41</v>
      </c>
      <c r="D22" s="9" t="s">
        <v>42</v>
      </c>
      <c r="E22" s="9" t="s">
        <v>43</v>
      </c>
    </row>
    <row r="23" spans="1:5">
      <c r="A23" s="10">
        <v>86.07</v>
      </c>
      <c r="B23" s="10">
        <v>85.94</v>
      </c>
      <c r="C23" s="10">
        <v>85.23</v>
      </c>
      <c r="D23" s="10">
        <v>85.87</v>
      </c>
      <c r="E23" s="10">
        <v>86.04</v>
      </c>
    </row>
    <row r="24" spans="1:5">
      <c r="A24" s="11" t="s">
        <v>44</v>
      </c>
      <c r="B24" s="11" t="s">
        <v>44</v>
      </c>
      <c r="C24" s="11" t="s">
        <v>44</v>
      </c>
      <c r="D24" s="11" t="s">
        <v>44</v>
      </c>
      <c r="E24" s="11" t="s">
        <v>44</v>
      </c>
    </row>
    <row r="25" spans="1:5">
      <c r="A25" s="8">
        <v>10</v>
      </c>
      <c r="B25" s="8">
        <v>7</v>
      </c>
      <c r="C25" s="8">
        <v>5</v>
      </c>
      <c r="D25" s="8">
        <v>7</v>
      </c>
      <c r="E25" s="8">
        <v>9</v>
      </c>
    </row>
    <row r="26" spans="1:5">
      <c r="A26" s="9" t="s">
        <v>45</v>
      </c>
      <c r="B26" s="9" t="s">
        <v>46</v>
      </c>
      <c r="C26" s="9" t="s">
        <v>47</v>
      </c>
      <c r="D26" s="9" t="s">
        <v>48</v>
      </c>
      <c r="E26" s="9" t="s">
        <v>49</v>
      </c>
    </row>
    <row r="27" spans="1:5">
      <c r="A27" s="10">
        <v>85.19</v>
      </c>
      <c r="B27" s="10">
        <v>85.34</v>
      </c>
      <c r="C27" s="10">
        <v>85.03</v>
      </c>
      <c r="D27" s="10">
        <v>85.44</v>
      </c>
      <c r="E27" s="10">
        <v>84.91</v>
      </c>
    </row>
    <row r="28" spans="1:5">
      <c r="A28" s="11" t="s">
        <v>50</v>
      </c>
      <c r="B28" s="11" t="s">
        <v>50</v>
      </c>
      <c r="C28" s="11" t="s">
        <v>50</v>
      </c>
      <c r="D28" s="11" t="s">
        <v>50</v>
      </c>
      <c r="E28" s="11" t="s">
        <v>50</v>
      </c>
    </row>
    <row r="29" spans="1:5">
      <c r="A29" s="8">
        <v>11</v>
      </c>
      <c r="B29" s="8">
        <v>10</v>
      </c>
      <c r="C29" s="8">
        <v>10</v>
      </c>
      <c r="D29" s="8">
        <v>9</v>
      </c>
      <c r="E29" s="8">
        <v>5</v>
      </c>
    </row>
    <row r="30" spans="1:5">
      <c r="A30" s="9" t="s">
        <v>51</v>
      </c>
      <c r="B30" s="9" t="s">
        <v>52</v>
      </c>
      <c r="C30" s="9" t="s">
        <v>53</v>
      </c>
      <c r="D30" s="9" t="s">
        <v>54</v>
      </c>
      <c r="E30" s="9" t="s">
        <v>55</v>
      </c>
    </row>
    <row r="31" spans="1:5">
      <c r="A31" s="10">
        <v>84.73</v>
      </c>
      <c r="B31" s="10">
        <v>83.41</v>
      </c>
      <c r="C31" s="10">
        <v>84.13</v>
      </c>
      <c r="D31" s="10">
        <v>84.51</v>
      </c>
      <c r="E31" s="10">
        <v>84.77</v>
      </c>
    </row>
    <row r="32" spans="1:5">
      <c r="A32" s="11" t="s">
        <v>56</v>
      </c>
      <c r="B32" s="11" t="s">
        <v>56</v>
      </c>
      <c r="C32" s="11" t="s">
        <v>56</v>
      </c>
      <c r="D32" s="11" t="s">
        <v>56</v>
      </c>
      <c r="E32" s="11" t="s">
        <v>56</v>
      </c>
    </row>
    <row r="33" spans="1:5">
      <c r="A33" s="8">
        <v>6</v>
      </c>
      <c r="B33" s="8">
        <v>3</v>
      </c>
      <c r="C33" s="8">
        <v>1</v>
      </c>
      <c r="D33" s="8">
        <v>2</v>
      </c>
      <c r="E33" s="8">
        <v>6</v>
      </c>
    </row>
    <row r="34" spans="1:5">
      <c r="A34" s="9" t="s">
        <v>57</v>
      </c>
      <c r="B34" s="9" t="s">
        <v>58</v>
      </c>
      <c r="C34" s="9" t="s">
        <v>59</v>
      </c>
      <c r="D34" s="9" t="s">
        <v>60</v>
      </c>
      <c r="E34" s="9" t="s">
        <v>61</v>
      </c>
    </row>
    <row r="35" spans="1:5">
      <c r="A35" s="10">
        <v>83.21</v>
      </c>
      <c r="B35" s="10">
        <v>83.16</v>
      </c>
      <c r="C35" s="10">
        <v>83.09</v>
      </c>
      <c r="D35" s="10">
        <v>83.79</v>
      </c>
      <c r="E35" s="10">
        <v>84.27</v>
      </c>
    </row>
    <row r="36" spans="1:5">
      <c r="A36" s="11" t="s">
        <v>62</v>
      </c>
      <c r="B36" s="11" t="s">
        <v>62</v>
      </c>
      <c r="C36" s="11" t="s">
        <v>62</v>
      </c>
      <c r="D36" s="11" t="s">
        <v>62</v>
      </c>
      <c r="E36" s="11" t="s">
        <v>62</v>
      </c>
    </row>
    <row r="37" spans="1:5">
      <c r="A37" s="8">
        <v>5</v>
      </c>
      <c r="B37" s="8">
        <v>2</v>
      </c>
      <c r="C37" s="8">
        <v>3</v>
      </c>
      <c r="D37" s="8">
        <v>3</v>
      </c>
      <c r="E37" s="8">
        <v>2</v>
      </c>
    </row>
    <row r="38" spans="1:5">
      <c r="A38" s="9" t="s">
        <v>63</v>
      </c>
      <c r="B38" s="9" t="s">
        <v>64</v>
      </c>
      <c r="C38" s="9" t="s">
        <v>65</v>
      </c>
      <c r="D38" s="9" t="s">
        <v>66</v>
      </c>
      <c r="E38" s="9" t="s">
        <v>67</v>
      </c>
    </row>
    <row r="39" spans="1:5">
      <c r="A39" s="10">
        <v>82.61</v>
      </c>
      <c r="B39" s="10">
        <v>82.01</v>
      </c>
      <c r="C39" s="10">
        <v>82.53</v>
      </c>
      <c r="D39" s="10">
        <v>83</v>
      </c>
      <c r="E39" s="10">
        <v>83.39</v>
      </c>
    </row>
    <row r="40" spans="1:5">
      <c r="A40" s="11" t="s">
        <v>68</v>
      </c>
      <c r="B40" s="11" t="s">
        <v>68</v>
      </c>
      <c r="C40" s="11" t="s">
        <v>68</v>
      </c>
      <c r="D40" s="11" t="s">
        <v>68</v>
      </c>
      <c r="E40" s="11" t="s">
        <v>68</v>
      </c>
    </row>
    <row r="41" spans="1:5">
      <c r="A41" s="8">
        <v>2</v>
      </c>
      <c r="B41" s="8">
        <v>6</v>
      </c>
      <c r="C41" s="8">
        <v>2</v>
      </c>
      <c r="D41" s="8">
        <v>11</v>
      </c>
      <c r="E41" s="8">
        <v>3</v>
      </c>
    </row>
    <row r="42" spans="1:5">
      <c r="A42" s="9" t="s">
        <v>69</v>
      </c>
      <c r="B42" s="9" t="s">
        <v>70</v>
      </c>
      <c r="C42" s="9" t="s">
        <v>71</v>
      </c>
      <c r="D42" s="9" t="s">
        <v>72</v>
      </c>
      <c r="E42" s="9" t="s">
        <v>73</v>
      </c>
    </row>
    <row r="43" spans="1:5">
      <c r="A43" s="10">
        <v>80.3</v>
      </c>
      <c r="B43" s="10">
        <v>80.84</v>
      </c>
      <c r="C43" s="10">
        <v>82.23</v>
      </c>
      <c r="D43" s="10">
        <v>82.44</v>
      </c>
      <c r="E43" s="10">
        <v>82.17</v>
      </c>
    </row>
    <row r="44" spans="1:5">
      <c r="A44" s="11" t="s">
        <v>74</v>
      </c>
      <c r="B44" s="11" t="s">
        <v>74</v>
      </c>
      <c r="C44" s="11" t="s">
        <v>74</v>
      </c>
      <c r="D44" s="11" t="s">
        <v>74</v>
      </c>
      <c r="E44" s="11" t="s">
        <v>74</v>
      </c>
    </row>
    <row r="45" spans="1:5">
      <c r="D45" s="8">
        <v>8</v>
      </c>
    </row>
    <row r="46" spans="1:5">
      <c r="D46" s="9" t="s">
        <v>75</v>
      </c>
    </row>
    <row r="47" spans="1:5">
      <c r="D47" s="10">
        <v>81.77</v>
      </c>
    </row>
    <row r="48" spans="1:5">
      <c r="D48" s="11" t="s">
        <v>76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F503"/>
  <sheetViews>
    <sheetView showGridLines="0" workbookViewId="0">
      <pane ySplit="2" topLeftCell="A315" activePane="bottomLeft" state="frozen"/>
      <selection/>
      <selection pane="bottomLeft" activeCell="A344" sqref="A344"/>
    </sheetView>
  </sheetViews>
  <sheetFormatPr defaultColWidth="9" defaultRowHeight="13.5" outlineLevelCol="5"/>
  <cols>
    <col min="1" max="1" width="58" customWidth="1"/>
    <col min="2" max="2" width="20" customWidth="1"/>
    <col min="3" max="3" width="14" customWidth="1"/>
    <col min="4" max="4" width="23" customWidth="1"/>
    <col min="5" max="5" width="34" customWidth="1"/>
    <col min="6" max="6" width="11" customWidth="1"/>
  </cols>
  <sheetData>
    <row r="1" ht="22" customHeight="1" spans="1:6">
      <c r="A1" s="3"/>
      <c r="B1" s="3" t="s">
        <v>77</v>
      </c>
      <c r="C1" s="3"/>
      <c r="D1" s="3"/>
      <c r="E1" s="3"/>
      <c r="F1" s="3"/>
    </row>
    <row r="2" ht="30" customHeight="1" spans="1:6">
      <c r="A2" s="4" t="s">
        <v>6</v>
      </c>
      <c r="B2" s="4" t="s">
        <v>78</v>
      </c>
      <c r="C2" s="4" t="s">
        <v>79</v>
      </c>
      <c r="D2" s="4" t="s">
        <v>80</v>
      </c>
      <c r="E2" s="4" t="s">
        <v>81</v>
      </c>
      <c r="F2" s="4" t="s">
        <v>82</v>
      </c>
    </row>
    <row r="3" ht="15" customHeight="1" spans="1:6">
      <c r="A3" s="5" t="s">
        <v>83</v>
      </c>
      <c r="B3" s="6" t="s">
        <v>84</v>
      </c>
      <c r="C3" s="6" t="s">
        <v>85</v>
      </c>
      <c r="D3" s="6" t="s">
        <v>86</v>
      </c>
      <c r="E3" s="6" t="s">
        <v>87</v>
      </c>
      <c r="F3" s="7">
        <v>1</v>
      </c>
    </row>
    <row r="4" ht="15" customHeight="1" spans="1:6">
      <c r="A4" s="5" t="s">
        <v>88</v>
      </c>
      <c r="B4" s="6" t="s">
        <v>89</v>
      </c>
      <c r="C4" s="6" t="s">
        <v>85</v>
      </c>
      <c r="D4" s="6" t="s">
        <v>86</v>
      </c>
      <c r="E4" s="6" t="s">
        <v>87</v>
      </c>
      <c r="F4" s="7">
        <v>2</v>
      </c>
    </row>
    <row r="5" ht="15" customHeight="1" spans="1:6">
      <c r="A5" s="5" t="s">
        <v>90</v>
      </c>
      <c r="B5" s="6" t="s">
        <v>91</v>
      </c>
      <c r="C5" s="6" t="s">
        <v>85</v>
      </c>
      <c r="D5" s="6" t="s">
        <v>86</v>
      </c>
      <c r="E5" s="6" t="s">
        <v>87</v>
      </c>
      <c r="F5" s="7">
        <v>3</v>
      </c>
    </row>
    <row r="6" ht="15" customHeight="1" spans="1:6">
      <c r="A6" s="5" t="s">
        <v>92</v>
      </c>
      <c r="B6" s="6" t="s">
        <v>93</v>
      </c>
      <c r="C6" s="6" t="s">
        <v>85</v>
      </c>
      <c r="D6" s="6" t="s">
        <v>86</v>
      </c>
      <c r="E6" s="6" t="s">
        <v>87</v>
      </c>
      <c r="F6" s="7">
        <v>4</v>
      </c>
    </row>
    <row r="7" ht="15" customHeight="1" spans="1:6">
      <c r="A7" s="5" t="s">
        <v>94</v>
      </c>
      <c r="B7" s="6" t="s">
        <v>95</v>
      </c>
      <c r="C7" s="6" t="s">
        <v>85</v>
      </c>
      <c r="D7" s="6" t="s">
        <v>86</v>
      </c>
      <c r="E7" s="6" t="s">
        <v>87</v>
      </c>
      <c r="F7" s="7">
        <v>5</v>
      </c>
    </row>
    <row r="8" ht="15" customHeight="1" spans="1:6">
      <c r="A8" s="5" t="s">
        <v>96</v>
      </c>
      <c r="B8" s="6" t="s">
        <v>97</v>
      </c>
      <c r="C8" s="6" t="s">
        <v>85</v>
      </c>
      <c r="D8" s="6" t="s">
        <v>86</v>
      </c>
      <c r="E8" s="6" t="s">
        <v>87</v>
      </c>
      <c r="F8" s="7">
        <v>6</v>
      </c>
    </row>
    <row r="9" ht="15" customHeight="1" spans="1:6">
      <c r="A9" s="5" t="s">
        <v>98</v>
      </c>
      <c r="B9" s="6" t="s">
        <v>99</v>
      </c>
      <c r="C9" s="6" t="s">
        <v>85</v>
      </c>
      <c r="D9" s="6" t="s">
        <v>86</v>
      </c>
      <c r="E9" s="6" t="s">
        <v>87</v>
      </c>
      <c r="F9" s="7">
        <v>7</v>
      </c>
    </row>
    <row r="10" ht="15" customHeight="1" spans="1:6">
      <c r="A10" s="5" t="s">
        <v>100</v>
      </c>
      <c r="B10" s="6" t="s">
        <v>101</v>
      </c>
      <c r="C10" s="6" t="s">
        <v>85</v>
      </c>
      <c r="D10" s="6" t="s">
        <v>86</v>
      </c>
      <c r="E10" s="6" t="s">
        <v>87</v>
      </c>
      <c r="F10" s="7">
        <v>8</v>
      </c>
    </row>
    <row r="11" ht="15" customHeight="1" spans="1:6">
      <c r="A11" s="5" t="s">
        <v>102</v>
      </c>
      <c r="B11" s="6" t="s">
        <v>103</v>
      </c>
      <c r="C11" s="6" t="s">
        <v>85</v>
      </c>
      <c r="D11" s="6" t="s">
        <v>86</v>
      </c>
      <c r="E11" s="6" t="s">
        <v>87</v>
      </c>
      <c r="F11" s="7">
        <v>9</v>
      </c>
    </row>
    <row r="12" ht="15" customHeight="1" spans="1:6">
      <c r="A12" s="5" t="s">
        <v>104</v>
      </c>
      <c r="B12" s="6" t="s">
        <v>105</v>
      </c>
      <c r="C12" s="6" t="s">
        <v>85</v>
      </c>
      <c r="D12" s="6" t="s">
        <v>86</v>
      </c>
      <c r="E12" s="6" t="s">
        <v>87</v>
      </c>
      <c r="F12" s="7">
        <v>10</v>
      </c>
    </row>
    <row r="13" ht="15" customHeight="1" spans="1:6">
      <c r="A13" s="5" t="s">
        <v>106</v>
      </c>
      <c r="B13" s="6" t="s">
        <v>107</v>
      </c>
      <c r="C13" s="6" t="s">
        <v>85</v>
      </c>
      <c r="D13" s="6" t="s">
        <v>86</v>
      </c>
      <c r="E13" s="6" t="s">
        <v>87</v>
      </c>
      <c r="F13" s="7">
        <v>11</v>
      </c>
    </row>
    <row r="14" ht="15" customHeight="1" spans="1:6">
      <c r="A14" s="5" t="s">
        <v>108</v>
      </c>
      <c r="B14" s="6" t="s">
        <v>109</v>
      </c>
      <c r="C14" s="6" t="s">
        <v>85</v>
      </c>
      <c r="D14" s="6" t="s">
        <v>86</v>
      </c>
      <c r="E14" s="6" t="s">
        <v>87</v>
      </c>
      <c r="F14" s="7">
        <v>12</v>
      </c>
    </row>
    <row r="15" ht="15" customHeight="1" spans="1:6">
      <c r="A15" s="5" t="s">
        <v>110</v>
      </c>
      <c r="B15" s="6" t="s">
        <v>111</v>
      </c>
      <c r="C15" s="6" t="s">
        <v>85</v>
      </c>
      <c r="D15" s="6" t="s">
        <v>86</v>
      </c>
      <c r="E15" s="6" t="s">
        <v>87</v>
      </c>
      <c r="F15" s="7">
        <v>13</v>
      </c>
    </row>
    <row r="16" ht="15" customHeight="1" spans="1:6">
      <c r="A16" s="5" t="s">
        <v>112</v>
      </c>
      <c r="B16" s="6" t="s">
        <v>113</v>
      </c>
      <c r="C16" s="6" t="s">
        <v>85</v>
      </c>
      <c r="D16" s="6" t="s">
        <v>86</v>
      </c>
      <c r="E16" s="6" t="s">
        <v>87</v>
      </c>
      <c r="F16" s="7">
        <v>14</v>
      </c>
    </row>
    <row r="17" ht="15" customHeight="1" spans="1:6">
      <c r="A17" s="5" t="s">
        <v>114</v>
      </c>
      <c r="B17" s="6" t="s">
        <v>115</v>
      </c>
      <c r="C17" s="6" t="s">
        <v>85</v>
      </c>
      <c r="D17" s="6" t="s">
        <v>86</v>
      </c>
      <c r="E17" s="6" t="s">
        <v>87</v>
      </c>
      <c r="F17" s="7">
        <v>15</v>
      </c>
    </row>
    <row r="18" ht="15" customHeight="1" spans="1:6">
      <c r="A18" s="5" t="s">
        <v>116</v>
      </c>
      <c r="B18" s="6" t="s">
        <v>117</v>
      </c>
      <c r="C18" s="6" t="s">
        <v>85</v>
      </c>
      <c r="D18" s="6" t="s">
        <v>86</v>
      </c>
      <c r="E18" s="6" t="s">
        <v>87</v>
      </c>
      <c r="F18" s="7">
        <v>16</v>
      </c>
    </row>
    <row r="19" ht="15" customHeight="1" spans="1:6">
      <c r="A19" s="5" t="s">
        <v>118</v>
      </c>
      <c r="B19" s="6" t="s">
        <v>119</v>
      </c>
      <c r="C19" s="6" t="s">
        <v>85</v>
      </c>
      <c r="D19" s="6" t="s">
        <v>86</v>
      </c>
      <c r="E19" s="6" t="s">
        <v>87</v>
      </c>
      <c r="F19" s="7">
        <v>17</v>
      </c>
    </row>
    <row r="20" ht="15" customHeight="1" spans="1:6">
      <c r="A20" s="5" t="s">
        <v>120</v>
      </c>
      <c r="B20" s="6" t="s">
        <v>105</v>
      </c>
      <c r="C20" s="6" t="s">
        <v>85</v>
      </c>
      <c r="D20" s="6" t="s">
        <v>86</v>
      </c>
      <c r="E20" s="6" t="s">
        <v>87</v>
      </c>
      <c r="F20" s="7">
        <v>18</v>
      </c>
    </row>
    <row r="21" ht="15" customHeight="1" spans="1:6">
      <c r="A21" s="5" t="s">
        <v>121</v>
      </c>
      <c r="B21" s="6" t="s">
        <v>122</v>
      </c>
      <c r="C21" s="6" t="s">
        <v>85</v>
      </c>
      <c r="D21" s="6" t="s">
        <v>86</v>
      </c>
      <c r="E21" s="6" t="s">
        <v>87</v>
      </c>
      <c r="F21" s="7">
        <v>19</v>
      </c>
    </row>
    <row r="22" ht="15" customHeight="1" spans="1:6">
      <c r="A22" s="5" t="s">
        <v>123</v>
      </c>
      <c r="B22" s="6" t="s">
        <v>124</v>
      </c>
      <c r="C22" s="6" t="s">
        <v>85</v>
      </c>
      <c r="D22" s="6" t="s">
        <v>86</v>
      </c>
      <c r="E22" s="6" t="s">
        <v>87</v>
      </c>
      <c r="F22" s="7">
        <v>20</v>
      </c>
    </row>
    <row r="23" ht="15" customHeight="1" spans="1:6">
      <c r="A23" s="5" t="s">
        <v>125</v>
      </c>
      <c r="B23" s="6" t="s">
        <v>126</v>
      </c>
      <c r="C23" s="6" t="s">
        <v>85</v>
      </c>
      <c r="D23" s="6" t="s">
        <v>86</v>
      </c>
      <c r="E23" s="6" t="s">
        <v>87</v>
      </c>
      <c r="F23" s="7">
        <v>21</v>
      </c>
    </row>
    <row r="24" ht="15" customHeight="1" spans="1:6">
      <c r="A24" s="5" t="s">
        <v>127</v>
      </c>
      <c r="B24" s="6" t="s">
        <v>128</v>
      </c>
      <c r="C24" s="6" t="s">
        <v>85</v>
      </c>
      <c r="D24" s="6" t="s">
        <v>86</v>
      </c>
      <c r="E24" s="6" t="s">
        <v>87</v>
      </c>
      <c r="F24" s="7">
        <v>22</v>
      </c>
    </row>
    <row r="25" ht="15" customHeight="1" spans="1:6">
      <c r="A25" s="5" t="s">
        <v>36</v>
      </c>
      <c r="B25" s="6" t="s">
        <v>101</v>
      </c>
      <c r="C25" s="6" t="s">
        <v>85</v>
      </c>
      <c r="D25" s="6" t="s">
        <v>86</v>
      </c>
      <c r="E25" s="6" t="s">
        <v>129</v>
      </c>
      <c r="F25" s="7">
        <v>1</v>
      </c>
    </row>
    <row r="26" ht="15" customHeight="1" spans="1:6">
      <c r="A26" s="5" t="s">
        <v>60</v>
      </c>
      <c r="B26" s="6" t="s">
        <v>130</v>
      </c>
      <c r="C26" s="6" t="s">
        <v>85</v>
      </c>
      <c r="D26" s="6" t="s">
        <v>86</v>
      </c>
      <c r="E26" s="6" t="s">
        <v>129</v>
      </c>
      <c r="F26" s="7">
        <v>2</v>
      </c>
    </row>
    <row r="27" ht="15" customHeight="1" spans="1:6">
      <c r="A27" s="5" t="s">
        <v>66</v>
      </c>
      <c r="B27" s="6" t="s">
        <v>84</v>
      </c>
      <c r="C27" s="6" t="s">
        <v>85</v>
      </c>
      <c r="D27" s="6" t="s">
        <v>86</v>
      </c>
      <c r="E27" s="6" t="s">
        <v>129</v>
      </c>
      <c r="F27" s="7">
        <v>3</v>
      </c>
    </row>
    <row r="28" ht="15" customHeight="1" spans="1:6">
      <c r="A28" s="5" t="s">
        <v>24</v>
      </c>
      <c r="B28" s="6" t="s">
        <v>119</v>
      </c>
      <c r="C28" s="6" t="s">
        <v>85</v>
      </c>
      <c r="D28" s="6" t="s">
        <v>86</v>
      </c>
      <c r="E28" s="6" t="s">
        <v>129</v>
      </c>
      <c r="F28" s="7">
        <v>4</v>
      </c>
    </row>
    <row r="29" ht="15" customHeight="1" spans="1:6">
      <c r="A29" s="5" t="s">
        <v>42</v>
      </c>
      <c r="B29" s="6" t="s">
        <v>95</v>
      </c>
      <c r="C29" s="6" t="s">
        <v>85</v>
      </c>
      <c r="D29" s="6" t="s">
        <v>86</v>
      </c>
      <c r="E29" s="6" t="s">
        <v>129</v>
      </c>
      <c r="F29" s="7">
        <v>5</v>
      </c>
    </row>
    <row r="30" ht="15" customHeight="1" spans="1:6">
      <c r="A30" s="5" t="s">
        <v>30</v>
      </c>
      <c r="B30" s="6" t="s">
        <v>89</v>
      </c>
      <c r="C30" s="6" t="s">
        <v>85</v>
      </c>
      <c r="D30" s="6" t="s">
        <v>86</v>
      </c>
      <c r="E30" s="6" t="s">
        <v>129</v>
      </c>
      <c r="F30" s="7">
        <v>6</v>
      </c>
    </row>
    <row r="31" ht="15" customHeight="1" spans="1:6">
      <c r="A31" s="5" t="s">
        <v>48</v>
      </c>
      <c r="B31" s="6" t="s">
        <v>131</v>
      </c>
      <c r="C31" s="6" t="s">
        <v>85</v>
      </c>
      <c r="D31" s="6" t="s">
        <v>86</v>
      </c>
      <c r="E31" s="6" t="s">
        <v>129</v>
      </c>
      <c r="F31" s="7">
        <v>7</v>
      </c>
    </row>
    <row r="32" ht="15" customHeight="1" spans="1:6">
      <c r="A32" s="5" t="s">
        <v>75</v>
      </c>
      <c r="B32" s="6" t="s">
        <v>111</v>
      </c>
      <c r="C32" s="6" t="s">
        <v>85</v>
      </c>
      <c r="D32" s="6" t="s">
        <v>86</v>
      </c>
      <c r="E32" s="6" t="s">
        <v>129</v>
      </c>
      <c r="F32" s="7">
        <v>8</v>
      </c>
    </row>
    <row r="33" ht="15" customHeight="1" spans="1:6">
      <c r="A33" s="5" t="s">
        <v>54</v>
      </c>
      <c r="B33" s="6" t="s">
        <v>111</v>
      </c>
      <c r="C33" s="6" t="s">
        <v>85</v>
      </c>
      <c r="D33" s="6" t="s">
        <v>86</v>
      </c>
      <c r="E33" s="6" t="s">
        <v>129</v>
      </c>
      <c r="F33" s="7">
        <v>9</v>
      </c>
    </row>
    <row r="34" ht="15" customHeight="1" spans="1:6">
      <c r="A34" s="5" t="s">
        <v>12</v>
      </c>
      <c r="B34" s="6" t="s">
        <v>132</v>
      </c>
      <c r="C34" s="6" t="s">
        <v>85</v>
      </c>
      <c r="D34" s="6" t="s">
        <v>86</v>
      </c>
      <c r="E34" s="6" t="s">
        <v>129</v>
      </c>
      <c r="F34" s="7">
        <v>10</v>
      </c>
    </row>
    <row r="35" ht="15" customHeight="1" spans="1:6">
      <c r="A35" s="5" t="s">
        <v>72</v>
      </c>
      <c r="B35" s="6" t="s">
        <v>133</v>
      </c>
      <c r="C35" s="6" t="s">
        <v>85</v>
      </c>
      <c r="D35" s="6" t="s">
        <v>86</v>
      </c>
      <c r="E35" s="6" t="s">
        <v>129</v>
      </c>
      <c r="F35" s="7">
        <v>11</v>
      </c>
    </row>
    <row r="36" ht="15" customHeight="1" spans="1:6">
      <c r="A36" s="5" t="s">
        <v>18</v>
      </c>
      <c r="B36" s="6" t="s">
        <v>134</v>
      </c>
      <c r="C36" s="6" t="s">
        <v>85</v>
      </c>
      <c r="D36" s="6" t="s">
        <v>86</v>
      </c>
      <c r="E36" s="6" t="s">
        <v>129</v>
      </c>
      <c r="F36" s="7">
        <v>12</v>
      </c>
    </row>
    <row r="37" ht="15" customHeight="1" spans="1:6">
      <c r="A37" s="5" t="s">
        <v>135</v>
      </c>
      <c r="B37" s="6" t="s">
        <v>136</v>
      </c>
      <c r="C37" s="6" t="s">
        <v>85</v>
      </c>
      <c r="D37" s="6" t="s">
        <v>86</v>
      </c>
      <c r="E37" s="6" t="s">
        <v>129</v>
      </c>
      <c r="F37" s="7">
        <v>13</v>
      </c>
    </row>
    <row r="38" ht="15" customHeight="1" spans="1:6">
      <c r="A38" s="5" t="s">
        <v>137</v>
      </c>
      <c r="B38" s="6" t="s">
        <v>138</v>
      </c>
      <c r="C38" s="6" t="s">
        <v>85</v>
      </c>
      <c r="D38" s="6" t="s">
        <v>86</v>
      </c>
      <c r="E38" s="6" t="s">
        <v>129</v>
      </c>
      <c r="F38" s="7">
        <v>14</v>
      </c>
    </row>
    <row r="39" ht="15" customHeight="1" spans="1:6">
      <c r="A39" s="5" t="s">
        <v>139</v>
      </c>
      <c r="B39" s="6" t="s">
        <v>140</v>
      </c>
      <c r="C39" s="6" t="s">
        <v>85</v>
      </c>
      <c r="D39" s="6" t="s">
        <v>86</v>
      </c>
      <c r="E39" s="6" t="s">
        <v>129</v>
      </c>
      <c r="F39" s="7">
        <v>15</v>
      </c>
    </row>
    <row r="40" ht="15" customHeight="1" spans="1:6">
      <c r="A40" s="5" t="s">
        <v>141</v>
      </c>
      <c r="B40" s="6" t="s">
        <v>107</v>
      </c>
      <c r="C40" s="6" t="s">
        <v>85</v>
      </c>
      <c r="D40" s="6" t="s">
        <v>86</v>
      </c>
      <c r="E40" s="6" t="s">
        <v>129</v>
      </c>
      <c r="F40" s="7">
        <v>16</v>
      </c>
    </row>
    <row r="41" ht="15" customHeight="1" spans="1:6">
      <c r="A41" s="5" t="s">
        <v>142</v>
      </c>
      <c r="B41" s="6" t="s">
        <v>93</v>
      </c>
      <c r="C41" s="6" t="s">
        <v>85</v>
      </c>
      <c r="D41" s="6" t="s">
        <v>86</v>
      </c>
      <c r="E41" s="6" t="s">
        <v>129</v>
      </c>
      <c r="F41" s="7">
        <v>17</v>
      </c>
    </row>
    <row r="42" ht="15" customHeight="1" spans="1:6">
      <c r="A42" s="5" t="s">
        <v>143</v>
      </c>
      <c r="B42" s="6" t="s">
        <v>113</v>
      </c>
      <c r="C42" s="6" t="s">
        <v>85</v>
      </c>
      <c r="D42" s="6" t="s">
        <v>86</v>
      </c>
      <c r="E42" s="6" t="s">
        <v>129</v>
      </c>
      <c r="F42" s="7">
        <v>18</v>
      </c>
    </row>
    <row r="43" ht="15" customHeight="1" spans="1:6">
      <c r="A43" s="5" t="s">
        <v>144</v>
      </c>
      <c r="B43" s="6" t="s">
        <v>91</v>
      </c>
      <c r="C43" s="6" t="s">
        <v>85</v>
      </c>
      <c r="D43" s="6" t="s">
        <v>86</v>
      </c>
      <c r="E43" s="6" t="s">
        <v>129</v>
      </c>
      <c r="F43" s="7">
        <v>19</v>
      </c>
    </row>
    <row r="44" ht="15" customHeight="1" spans="1:6">
      <c r="A44" s="5" t="s">
        <v>145</v>
      </c>
      <c r="B44" s="6" t="s">
        <v>105</v>
      </c>
      <c r="C44" s="6" t="s">
        <v>85</v>
      </c>
      <c r="D44" s="6" t="s">
        <v>86</v>
      </c>
      <c r="E44" s="6" t="s">
        <v>129</v>
      </c>
      <c r="F44" s="7">
        <v>20</v>
      </c>
    </row>
    <row r="45" ht="15" customHeight="1" spans="1:6">
      <c r="A45" s="5" t="s">
        <v>146</v>
      </c>
      <c r="B45" s="6" t="s">
        <v>147</v>
      </c>
      <c r="C45" s="6" t="s">
        <v>85</v>
      </c>
      <c r="D45" s="6" t="s">
        <v>86</v>
      </c>
      <c r="E45" s="6" t="s">
        <v>129</v>
      </c>
      <c r="F45" s="7">
        <v>21</v>
      </c>
    </row>
    <row r="46" ht="15" customHeight="1" spans="1:6">
      <c r="A46" s="5" t="s">
        <v>37</v>
      </c>
      <c r="B46" s="6" t="s">
        <v>138</v>
      </c>
      <c r="C46" s="6" t="s">
        <v>85</v>
      </c>
      <c r="D46" s="6" t="s">
        <v>86</v>
      </c>
      <c r="E46" s="6" t="s">
        <v>148</v>
      </c>
      <c r="F46" s="7">
        <v>1</v>
      </c>
    </row>
    <row r="47" ht="15" customHeight="1" spans="1:6">
      <c r="A47" s="5" t="s">
        <v>67</v>
      </c>
      <c r="B47" s="6" t="s">
        <v>133</v>
      </c>
      <c r="C47" s="6" t="s">
        <v>85</v>
      </c>
      <c r="D47" s="6" t="s">
        <v>86</v>
      </c>
      <c r="E47" s="6" t="s">
        <v>148</v>
      </c>
      <c r="F47" s="7">
        <v>2</v>
      </c>
    </row>
    <row r="48" ht="15" customHeight="1" spans="1:6">
      <c r="A48" s="5" t="s">
        <v>73</v>
      </c>
      <c r="B48" s="6" t="s">
        <v>149</v>
      </c>
      <c r="C48" s="6" t="s">
        <v>85</v>
      </c>
      <c r="D48" s="6" t="s">
        <v>86</v>
      </c>
      <c r="E48" s="6" t="s">
        <v>148</v>
      </c>
      <c r="F48" s="7">
        <v>3</v>
      </c>
    </row>
    <row r="49" ht="15" customHeight="1" spans="1:6">
      <c r="A49" s="5" t="s">
        <v>19</v>
      </c>
      <c r="B49" s="6" t="s">
        <v>91</v>
      </c>
      <c r="C49" s="6" t="s">
        <v>85</v>
      </c>
      <c r="D49" s="6" t="s">
        <v>86</v>
      </c>
      <c r="E49" s="6" t="s">
        <v>148</v>
      </c>
      <c r="F49" s="7">
        <v>4</v>
      </c>
    </row>
    <row r="50" ht="15" customHeight="1" spans="1:6">
      <c r="A50" s="5" t="s">
        <v>55</v>
      </c>
      <c r="B50" s="6" t="s">
        <v>130</v>
      </c>
      <c r="C50" s="6" t="s">
        <v>85</v>
      </c>
      <c r="D50" s="6" t="s">
        <v>86</v>
      </c>
      <c r="E50" s="6" t="s">
        <v>148</v>
      </c>
      <c r="F50" s="7">
        <v>5</v>
      </c>
    </row>
    <row r="51" ht="15" customHeight="1" spans="1:6">
      <c r="A51" s="5" t="s">
        <v>61</v>
      </c>
      <c r="B51" s="6" t="s">
        <v>89</v>
      </c>
      <c r="C51" s="6" t="s">
        <v>85</v>
      </c>
      <c r="D51" s="6" t="s">
        <v>86</v>
      </c>
      <c r="E51" s="6" t="s">
        <v>148</v>
      </c>
      <c r="F51" s="7">
        <v>6</v>
      </c>
    </row>
    <row r="52" ht="15" customHeight="1" spans="1:6">
      <c r="A52" s="5" t="s">
        <v>13</v>
      </c>
      <c r="B52" s="6" t="s">
        <v>111</v>
      </c>
      <c r="C52" s="6" t="s">
        <v>85</v>
      </c>
      <c r="D52" s="6" t="s">
        <v>86</v>
      </c>
      <c r="E52" s="6" t="s">
        <v>148</v>
      </c>
      <c r="F52" s="7">
        <v>7</v>
      </c>
    </row>
    <row r="53" ht="15" customHeight="1" spans="1:6">
      <c r="A53" s="5" t="s">
        <v>25</v>
      </c>
      <c r="B53" s="6" t="s">
        <v>119</v>
      </c>
      <c r="C53" s="6" t="s">
        <v>85</v>
      </c>
      <c r="D53" s="6" t="s">
        <v>86</v>
      </c>
      <c r="E53" s="6" t="s">
        <v>148</v>
      </c>
      <c r="F53" s="7">
        <v>8</v>
      </c>
    </row>
    <row r="54" ht="15" customHeight="1" spans="1:6">
      <c r="A54" s="5" t="s">
        <v>49</v>
      </c>
      <c r="B54" s="6" t="s">
        <v>93</v>
      </c>
      <c r="C54" s="6" t="s">
        <v>85</v>
      </c>
      <c r="D54" s="6" t="s">
        <v>86</v>
      </c>
      <c r="E54" s="6" t="s">
        <v>148</v>
      </c>
      <c r="F54" s="7">
        <v>9</v>
      </c>
    </row>
    <row r="55" ht="24" customHeight="1" spans="1:6">
      <c r="A55" s="5" t="s">
        <v>43</v>
      </c>
      <c r="B55" s="6" t="s">
        <v>150</v>
      </c>
      <c r="C55" s="6" t="s">
        <v>85</v>
      </c>
      <c r="D55" s="6" t="s">
        <v>86</v>
      </c>
      <c r="E55" s="6" t="s">
        <v>148</v>
      </c>
      <c r="F55" s="7">
        <v>10</v>
      </c>
    </row>
    <row r="56" ht="15" customHeight="1" spans="1:6">
      <c r="A56" s="5" t="s">
        <v>31</v>
      </c>
      <c r="B56" s="6" t="s">
        <v>105</v>
      </c>
      <c r="C56" s="6" t="s">
        <v>85</v>
      </c>
      <c r="D56" s="6" t="s">
        <v>86</v>
      </c>
      <c r="E56" s="6" t="s">
        <v>148</v>
      </c>
      <c r="F56" s="7">
        <v>11</v>
      </c>
    </row>
    <row r="57" ht="15" customHeight="1" spans="1:6">
      <c r="A57" s="5" t="s">
        <v>151</v>
      </c>
      <c r="B57" s="6" t="s">
        <v>128</v>
      </c>
      <c r="C57" s="6" t="s">
        <v>85</v>
      </c>
      <c r="D57" s="6" t="s">
        <v>86</v>
      </c>
      <c r="E57" s="6" t="s">
        <v>148</v>
      </c>
      <c r="F57" s="7">
        <v>12</v>
      </c>
    </row>
    <row r="58" ht="15" customHeight="1" spans="1:6">
      <c r="A58" s="5" t="s">
        <v>152</v>
      </c>
      <c r="B58" s="6" t="s">
        <v>134</v>
      </c>
      <c r="C58" s="6" t="s">
        <v>85</v>
      </c>
      <c r="D58" s="6" t="s">
        <v>86</v>
      </c>
      <c r="E58" s="6" t="s">
        <v>148</v>
      </c>
      <c r="F58" s="7">
        <v>13</v>
      </c>
    </row>
    <row r="59" ht="15" customHeight="1" spans="1:6">
      <c r="A59" s="5" t="s">
        <v>153</v>
      </c>
      <c r="B59" s="6" t="s">
        <v>111</v>
      </c>
      <c r="C59" s="6" t="s">
        <v>85</v>
      </c>
      <c r="D59" s="6" t="s">
        <v>86</v>
      </c>
      <c r="E59" s="6" t="s">
        <v>148</v>
      </c>
      <c r="F59" s="7">
        <v>14</v>
      </c>
    </row>
    <row r="60" ht="15" customHeight="1" spans="1:6">
      <c r="A60" s="5" t="s">
        <v>154</v>
      </c>
      <c r="B60" s="6" t="s">
        <v>113</v>
      </c>
      <c r="C60" s="6" t="s">
        <v>85</v>
      </c>
      <c r="D60" s="6" t="s">
        <v>86</v>
      </c>
      <c r="E60" s="6" t="s">
        <v>148</v>
      </c>
      <c r="F60" s="7">
        <v>15</v>
      </c>
    </row>
    <row r="61" ht="15" customHeight="1" spans="1:6">
      <c r="A61" s="5" t="s">
        <v>155</v>
      </c>
      <c r="B61" s="6" t="s">
        <v>107</v>
      </c>
      <c r="C61" s="6" t="s">
        <v>85</v>
      </c>
      <c r="D61" s="6" t="s">
        <v>86</v>
      </c>
      <c r="E61" s="6" t="s">
        <v>148</v>
      </c>
      <c r="F61" s="7">
        <v>16</v>
      </c>
    </row>
    <row r="62" ht="15" customHeight="1" spans="1:6">
      <c r="A62" s="5" t="s">
        <v>156</v>
      </c>
      <c r="B62" s="6" t="s">
        <v>122</v>
      </c>
      <c r="C62" s="6" t="s">
        <v>85</v>
      </c>
      <c r="D62" s="6" t="s">
        <v>86</v>
      </c>
      <c r="E62" s="6" t="s">
        <v>148</v>
      </c>
      <c r="F62" s="7">
        <v>17</v>
      </c>
    </row>
    <row r="63" ht="15" customHeight="1" spans="1:6">
      <c r="A63" s="5" t="s">
        <v>157</v>
      </c>
      <c r="B63" s="6" t="s">
        <v>158</v>
      </c>
      <c r="C63" s="6" t="s">
        <v>85</v>
      </c>
      <c r="D63" s="6" t="s">
        <v>86</v>
      </c>
      <c r="E63" s="6" t="s">
        <v>148</v>
      </c>
      <c r="F63" s="7">
        <v>18</v>
      </c>
    </row>
    <row r="64" ht="15" customHeight="1" spans="1:6">
      <c r="A64" s="5" t="s">
        <v>159</v>
      </c>
      <c r="B64" s="6" t="s">
        <v>101</v>
      </c>
      <c r="C64" s="6" t="s">
        <v>85</v>
      </c>
      <c r="D64" s="6" t="s">
        <v>86</v>
      </c>
      <c r="E64" s="6" t="s">
        <v>148</v>
      </c>
      <c r="F64" s="7">
        <v>19</v>
      </c>
    </row>
    <row r="65" ht="15" customHeight="1" spans="1:6">
      <c r="A65" s="5" t="s">
        <v>160</v>
      </c>
      <c r="B65" s="6" t="s">
        <v>140</v>
      </c>
      <c r="C65" s="6" t="s">
        <v>85</v>
      </c>
      <c r="D65" s="6" t="s">
        <v>86</v>
      </c>
      <c r="E65" s="6" t="s">
        <v>148</v>
      </c>
      <c r="F65" s="7">
        <v>20</v>
      </c>
    </row>
    <row r="66" ht="15" customHeight="1" spans="1:6">
      <c r="A66" s="5" t="s">
        <v>161</v>
      </c>
      <c r="B66" s="6" t="s">
        <v>97</v>
      </c>
      <c r="C66" s="6" t="s">
        <v>85</v>
      </c>
      <c r="D66" s="6" t="s">
        <v>86</v>
      </c>
      <c r="E66" s="6" t="s">
        <v>148</v>
      </c>
      <c r="F66" s="7">
        <v>21</v>
      </c>
    </row>
    <row r="67" ht="15" customHeight="1" spans="1:6">
      <c r="A67" s="5" t="s">
        <v>162</v>
      </c>
      <c r="B67" s="6" t="s">
        <v>132</v>
      </c>
      <c r="C67" s="6" t="s">
        <v>85</v>
      </c>
      <c r="D67" s="6" t="s">
        <v>86</v>
      </c>
      <c r="E67" s="6" t="s">
        <v>148</v>
      </c>
      <c r="F67" s="7">
        <v>22</v>
      </c>
    </row>
    <row r="68" ht="15" customHeight="1" spans="1:6">
      <c r="A68" s="5" t="s">
        <v>163</v>
      </c>
      <c r="B68" s="6" t="s">
        <v>124</v>
      </c>
      <c r="C68" s="6" t="s">
        <v>85</v>
      </c>
      <c r="D68" s="6" t="s">
        <v>86</v>
      </c>
      <c r="E68" s="6" t="s">
        <v>164</v>
      </c>
      <c r="F68" s="7">
        <v>1</v>
      </c>
    </row>
    <row r="69" ht="15" customHeight="1" spans="1:6">
      <c r="A69" s="5" t="s">
        <v>165</v>
      </c>
      <c r="B69" s="6" t="s">
        <v>109</v>
      </c>
      <c r="C69" s="6" t="s">
        <v>85</v>
      </c>
      <c r="D69" s="6" t="s">
        <v>86</v>
      </c>
      <c r="E69" s="6" t="s">
        <v>164</v>
      </c>
      <c r="F69" s="7">
        <v>2</v>
      </c>
    </row>
    <row r="70" ht="15" customHeight="1" spans="1:6">
      <c r="A70" s="5" t="s">
        <v>166</v>
      </c>
      <c r="B70" s="6" t="s">
        <v>91</v>
      </c>
      <c r="C70" s="6" t="s">
        <v>85</v>
      </c>
      <c r="D70" s="6" t="s">
        <v>86</v>
      </c>
      <c r="E70" s="6" t="s">
        <v>164</v>
      </c>
      <c r="F70" s="7">
        <v>3</v>
      </c>
    </row>
    <row r="71" ht="15" customHeight="1" spans="1:6">
      <c r="A71" s="5" t="s">
        <v>167</v>
      </c>
      <c r="B71" s="6" t="s">
        <v>97</v>
      </c>
      <c r="C71" s="6" t="s">
        <v>85</v>
      </c>
      <c r="D71" s="6" t="s">
        <v>86</v>
      </c>
      <c r="E71" s="6" t="s">
        <v>164</v>
      </c>
      <c r="F71" s="7">
        <v>4</v>
      </c>
    </row>
    <row r="72" ht="15" customHeight="1" spans="1:6">
      <c r="A72" s="5" t="s">
        <v>168</v>
      </c>
      <c r="B72" s="6" t="s">
        <v>113</v>
      </c>
      <c r="C72" s="6" t="s">
        <v>85</v>
      </c>
      <c r="D72" s="6" t="s">
        <v>86</v>
      </c>
      <c r="E72" s="6" t="s">
        <v>164</v>
      </c>
      <c r="F72" s="7">
        <v>5</v>
      </c>
    </row>
    <row r="73" ht="15" customHeight="1" spans="1:6">
      <c r="A73" s="5" t="s">
        <v>169</v>
      </c>
      <c r="B73" s="6" t="s">
        <v>126</v>
      </c>
      <c r="C73" s="6" t="s">
        <v>85</v>
      </c>
      <c r="D73" s="6" t="s">
        <v>86</v>
      </c>
      <c r="E73" s="6" t="s">
        <v>164</v>
      </c>
      <c r="F73" s="7">
        <v>6</v>
      </c>
    </row>
    <row r="74" ht="15" customHeight="1" spans="1:6">
      <c r="A74" s="5" t="s">
        <v>170</v>
      </c>
      <c r="B74" s="6" t="s">
        <v>119</v>
      </c>
      <c r="C74" s="6" t="s">
        <v>85</v>
      </c>
      <c r="D74" s="6" t="s">
        <v>86</v>
      </c>
      <c r="E74" s="6" t="s">
        <v>164</v>
      </c>
      <c r="F74" s="7">
        <v>7</v>
      </c>
    </row>
    <row r="75" ht="15" customHeight="1" spans="1:6">
      <c r="A75" s="5" t="s">
        <v>171</v>
      </c>
      <c r="B75" s="6" t="s">
        <v>105</v>
      </c>
      <c r="C75" s="6" t="s">
        <v>85</v>
      </c>
      <c r="D75" s="6" t="s">
        <v>86</v>
      </c>
      <c r="E75" s="6" t="s">
        <v>164</v>
      </c>
      <c r="F75" s="7">
        <v>8</v>
      </c>
    </row>
    <row r="76" ht="15" customHeight="1" spans="1:6">
      <c r="A76" s="5" t="s">
        <v>172</v>
      </c>
      <c r="B76" s="6" t="s">
        <v>138</v>
      </c>
      <c r="C76" s="6" t="s">
        <v>85</v>
      </c>
      <c r="D76" s="6" t="s">
        <v>86</v>
      </c>
      <c r="E76" s="6" t="s">
        <v>164</v>
      </c>
      <c r="F76" s="7">
        <v>9</v>
      </c>
    </row>
    <row r="77" ht="15" customHeight="1" spans="1:6">
      <c r="A77" s="5" t="s">
        <v>173</v>
      </c>
      <c r="B77" s="6" t="s">
        <v>84</v>
      </c>
      <c r="C77" s="6" t="s">
        <v>85</v>
      </c>
      <c r="D77" s="6" t="s">
        <v>86</v>
      </c>
      <c r="E77" s="6" t="s">
        <v>164</v>
      </c>
      <c r="F77" s="7">
        <v>10</v>
      </c>
    </row>
    <row r="78" ht="15" customHeight="1" spans="1:6">
      <c r="A78" s="5" t="s">
        <v>174</v>
      </c>
      <c r="B78" s="6" t="s">
        <v>101</v>
      </c>
      <c r="C78" s="6" t="s">
        <v>85</v>
      </c>
      <c r="D78" s="6" t="s">
        <v>86</v>
      </c>
      <c r="E78" s="6" t="s">
        <v>164</v>
      </c>
      <c r="F78" s="7">
        <v>11</v>
      </c>
    </row>
    <row r="79" ht="15" customHeight="1" spans="1:6">
      <c r="A79" s="5" t="s">
        <v>175</v>
      </c>
      <c r="B79" s="6" t="s">
        <v>133</v>
      </c>
      <c r="C79" s="6" t="s">
        <v>85</v>
      </c>
      <c r="D79" s="6" t="s">
        <v>86</v>
      </c>
      <c r="E79" s="6" t="s">
        <v>164</v>
      </c>
      <c r="F79" s="7">
        <v>12</v>
      </c>
    </row>
    <row r="80" ht="15" customHeight="1" spans="1:6">
      <c r="A80" s="5" t="s">
        <v>176</v>
      </c>
      <c r="B80" s="6" t="s">
        <v>99</v>
      </c>
      <c r="C80" s="6" t="s">
        <v>85</v>
      </c>
      <c r="D80" s="6" t="s">
        <v>86</v>
      </c>
      <c r="E80" s="6" t="s">
        <v>164</v>
      </c>
      <c r="F80" s="7">
        <v>13</v>
      </c>
    </row>
    <row r="81" ht="15" customHeight="1" spans="1:6">
      <c r="A81" s="5" t="s">
        <v>177</v>
      </c>
      <c r="B81" s="6" t="s">
        <v>132</v>
      </c>
      <c r="C81" s="6" t="s">
        <v>85</v>
      </c>
      <c r="D81" s="6" t="s">
        <v>86</v>
      </c>
      <c r="E81" s="6" t="s">
        <v>164</v>
      </c>
      <c r="F81" s="7">
        <v>14</v>
      </c>
    </row>
    <row r="82" ht="15" customHeight="1" spans="1:6">
      <c r="A82" s="5" t="s">
        <v>178</v>
      </c>
      <c r="B82" s="6" t="s">
        <v>117</v>
      </c>
      <c r="C82" s="6" t="s">
        <v>85</v>
      </c>
      <c r="D82" s="6" t="s">
        <v>86</v>
      </c>
      <c r="E82" s="6" t="s">
        <v>164</v>
      </c>
      <c r="F82" s="7">
        <v>15</v>
      </c>
    </row>
    <row r="83" ht="15" customHeight="1" spans="1:6">
      <c r="A83" s="5" t="s">
        <v>179</v>
      </c>
      <c r="B83" s="6" t="s">
        <v>95</v>
      </c>
      <c r="C83" s="6" t="s">
        <v>85</v>
      </c>
      <c r="D83" s="6" t="s">
        <v>86</v>
      </c>
      <c r="E83" s="6" t="s">
        <v>164</v>
      </c>
      <c r="F83" s="7">
        <v>16</v>
      </c>
    </row>
    <row r="84" ht="15" customHeight="1" spans="1:6">
      <c r="A84" s="5" t="s">
        <v>180</v>
      </c>
      <c r="B84" s="6" t="s">
        <v>181</v>
      </c>
      <c r="C84" s="6" t="s">
        <v>85</v>
      </c>
      <c r="D84" s="6" t="s">
        <v>86</v>
      </c>
      <c r="E84" s="6" t="s">
        <v>164</v>
      </c>
      <c r="F84" s="7">
        <v>17</v>
      </c>
    </row>
    <row r="85" ht="15" customHeight="1" spans="1:6">
      <c r="A85" s="5" t="s">
        <v>182</v>
      </c>
      <c r="B85" s="6" t="s">
        <v>183</v>
      </c>
      <c r="C85" s="6" t="s">
        <v>85</v>
      </c>
      <c r="D85" s="6" t="s">
        <v>86</v>
      </c>
      <c r="E85" s="6" t="s">
        <v>164</v>
      </c>
      <c r="F85" s="7">
        <v>18</v>
      </c>
    </row>
    <row r="86" ht="15" customHeight="1" spans="1:6">
      <c r="A86" s="5" t="s">
        <v>184</v>
      </c>
      <c r="B86" s="6" t="s">
        <v>111</v>
      </c>
      <c r="C86" s="6" t="s">
        <v>85</v>
      </c>
      <c r="D86" s="6" t="s">
        <v>86</v>
      </c>
      <c r="E86" s="6" t="s">
        <v>164</v>
      </c>
      <c r="F86" s="7">
        <v>19</v>
      </c>
    </row>
    <row r="87" ht="15" customHeight="1" spans="1:6">
      <c r="A87" s="5" t="s">
        <v>185</v>
      </c>
      <c r="B87" s="6" t="s">
        <v>107</v>
      </c>
      <c r="C87" s="6" t="s">
        <v>85</v>
      </c>
      <c r="D87" s="6" t="s">
        <v>86</v>
      </c>
      <c r="E87" s="6" t="s">
        <v>164</v>
      </c>
      <c r="F87" s="7">
        <v>20</v>
      </c>
    </row>
    <row r="88" ht="15" customHeight="1" spans="1:6">
      <c r="A88" s="5" t="s">
        <v>186</v>
      </c>
      <c r="B88" s="6" t="s">
        <v>136</v>
      </c>
      <c r="C88" s="6" t="s">
        <v>85</v>
      </c>
      <c r="D88" s="6" t="s">
        <v>86</v>
      </c>
      <c r="E88" s="6" t="s">
        <v>164</v>
      </c>
      <c r="F88" s="7">
        <v>21</v>
      </c>
    </row>
    <row r="89" ht="15" customHeight="1" spans="1:6">
      <c r="A89" s="5" t="s">
        <v>187</v>
      </c>
      <c r="B89" s="6" t="s">
        <v>124</v>
      </c>
      <c r="C89" s="6" t="s">
        <v>85</v>
      </c>
      <c r="D89" s="6" t="s">
        <v>86</v>
      </c>
      <c r="E89" s="6" t="s">
        <v>188</v>
      </c>
      <c r="F89" s="7">
        <v>1</v>
      </c>
    </row>
    <row r="90" ht="15" customHeight="1" spans="1:6">
      <c r="A90" s="5" t="s">
        <v>189</v>
      </c>
      <c r="B90" s="6" t="s">
        <v>117</v>
      </c>
      <c r="C90" s="6" t="s">
        <v>85</v>
      </c>
      <c r="D90" s="6" t="s">
        <v>86</v>
      </c>
      <c r="E90" s="6" t="s">
        <v>188</v>
      </c>
      <c r="F90" s="7">
        <v>2</v>
      </c>
    </row>
    <row r="91" ht="15" customHeight="1" spans="1:6">
      <c r="A91" s="5" t="s">
        <v>190</v>
      </c>
      <c r="B91" s="6" t="s">
        <v>132</v>
      </c>
      <c r="C91" s="6" t="s">
        <v>85</v>
      </c>
      <c r="D91" s="6" t="s">
        <v>86</v>
      </c>
      <c r="E91" s="6" t="s">
        <v>188</v>
      </c>
      <c r="F91" s="7">
        <v>3</v>
      </c>
    </row>
    <row r="92" ht="15" customHeight="1" spans="1:6">
      <c r="A92" s="5" t="s">
        <v>191</v>
      </c>
      <c r="B92" s="6" t="s">
        <v>84</v>
      </c>
      <c r="C92" s="6" t="s">
        <v>85</v>
      </c>
      <c r="D92" s="6" t="s">
        <v>86</v>
      </c>
      <c r="E92" s="6" t="s">
        <v>188</v>
      </c>
      <c r="F92" s="7">
        <v>4</v>
      </c>
    </row>
    <row r="93" ht="15" customHeight="1" spans="1:6">
      <c r="A93" s="5" t="s">
        <v>192</v>
      </c>
      <c r="B93" s="6" t="s">
        <v>113</v>
      </c>
      <c r="C93" s="6" t="s">
        <v>85</v>
      </c>
      <c r="D93" s="6" t="s">
        <v>86</v>
      </c>
      <c r="E93" s="6" t="s">
        <v>188</v>
      </c>
      <c r="F93" s="7">
        <v>5</v>
      </c>
    </row>
    <row r="94" ht="15" customHeight="1" spans="1:6">
      <c r="A94" s="5" t="s">
        <v>193</v>
      </c>
      <c r="B94" s="6" t="s">
        <v>194</v>
      </c>
      <c r="C94" s="6" t="s">
        <v>85</v>
      </c>
      <c r="D94" s="6" t="s">
        <v>86</v>
      </c>
      <c r="E94" s="6" t="s">
        <v>188</v>
      </c>
      <c r="F94" s="7">
        <v>6</v>
      </c>
    </row>
    <row r="95" ht="15" customHeight="1" spans="1:6">
      <c r="A95" s="5" t="s">
        <v>195</v>
      </c>
      <c r="B95" s="6" t="s">
        <v>119</v>
      </c>
      <c r="C95" s="6" t="s">
        <v>85</v>
      </c>
      <c r="D95" s="6" t="s">
        <v>86</v>
      </c>
      <c r="E95" s="6" t="s">
        <v>188</v>
      </c>
      <c r="F95" s="7">
        <v>7</v>
      </c>
    </row>
    <row r="96" ht="15" customHeight="1" spans="1:6">
      <c r="A96" s="5" t="s">
        <v>196</v>
      </c>
      <c r="B96" s="6" t="s">
        <v>91</v>
      </c>
      <c r="C96" s="6" t="s">
        <v>85</v>
      </c>
      <c r="D96" s="6" t="s">
        <v>86</v>
      </c>
      <c r="E96" s="6" t="s">
        <v>188</v>
      </c>
      <c r="F96" s="7">
        <v>8</v>
      </c>
    </row>
    <row r="97" ht="15" customHeight="1" spans="1:6">
      <c r="A97" s="5" t="s">
        <v>197</v>
      </c>
      <c r="B97" s="6" t="s">
        <v>109</v>
      </c>
      <c r="C97" s="6" t="s">
        <v>85</v>
      </c>
      <c r="D97" s="6" t="s">
        <v>86</v>
      </c>
      <c r="E97" s="6" t="s">
        <v>188</v>
      </c>
      <c r="F97" s="7">
        <v>9</v>
      </c>
    </row>
    <row r="98" ht="15" customHeight="1" spans="1:6">
      <c r="A98" s="5" t="s">
        <v>198</v>
      </c>
      <c r="B98" s="6" t="s">
        <v>111</v>
      </c>
      <c r="C98" s="6" t="s">
        <v>85</v>
      </c>
      <c r="D98" s="6" t="s">
        <v>86</v>
      </c>
      <c r="E98" s="6" t="s">
        <v>188</v>
      </c>
      <c r="F98" s="7">
        <v>10</v>
      </c>
    </row>
    <row r="99" ht="15" customHeight="1" spans="1:6">
      <c r="A99" s="5" t="s">
        <v>199</v>
      </c>
      <c r="B99" s="6" t="s">
        <v>97</v>
      </c>
      <c r="C99" s="6" t="s">
        <v>85</v>
      </c>
      <c r="D99" s="6" t="s">
        <v>86</v>
      </c>
      <c r="E99" s="6" t="s">
        <v>188</v>
      </c>
      <c r="F99" s="7">
        <v>11</v>
      </c>
    </row>
    <row r="100" ht="15" customHeight="1" spans="1:6">
      <c r="A100" s="5" t="s">
        <v>200</v>
      </c>
      <c r="B100" s="6" t="s">
        <v>99</v>
      </c>
      <c r="C100" s="6" t="s">
        <v>85</v>
      </c>
      <c r="D100" s="6" t="s">
        <v>86</v>
      </c>
      <c r="E100" s="6" t="s">
        <v>188</v>
      </c>
      <c r="F100" s="7">
        <v>12</v>
      </c>
    </row>
    <row r="101" ht="15" customHeight="1" spans="1:6">
      <c r="A101" s="5" t="s">
        <v>201</v>
      </c>
      <c r="B101" s="6" t="s">
        <v>181</v>
      </c>
      <c r="C101" s="6" t="s">
        <v>85</v>
      </c>
      <c r="D101" s="6" t="s">
        <v>86</v>
      </c>
      <c r="E101" s="6" t="s">
        <v>188</v>
      </c>
      <c r="F101" s="7">
        <v>13</v>
      </c>
    </row>
    <row r="102" ht="15" customHeight="1" spans="1:6">
      <c r="A102" s="5" t="s">
        <v>202</v>
      </c>
      <c r="B102" s="6" t="s">
        <v>126</v>
      </c>
      <c r="C102" s="6" t="s">
        <v>85</v>
      </c>
      <c r="D102" s="6" t="s">
        <v>86</v>
      </c>
      <c r="E102" s="6" t="s">
        <v>188</v>
      </c>
      <c r="F102" s="7">
        <v>14</v>
      </c>
    </row>
    <row r="103" ht="15" customHeight="1" spans="1:6">
      <c r="A103" s="5" t="s">
        <v>203</v>
      </c>
      <c r="B103" s="6" t="s">
        <v>107</v>
      </c>
      <c r="C103" s="6" t="s">
        <v>85</v>
      </c>
      <c r="D103" s="6" t="s">
        <v>86</v>
      </c>
      <c r="E103" s="6" t="s">
        <v>188</v>
      </c>
      <c r="F103" s="7">
        <v>15</v>
      </c>
    </row>
    <row r="104" ht="15" customHeight="1" spans="1:6">
      <c r="A104" s="5" t="s">
        <v>204</v>
      </c>
      <c r="B104" s="6" t="s">
        <v>122</v>
      </c>
      <c r="C104" s="6" t="s">
        <v>85</v>
      </c>
      <c r="D104" s="6" t="s">
        <v>86</v>
      </c>
      <c r="E104" s="6" t="s">
        <v>188</v>
      </c>
      <c r="F104" s="7">
        <v>16</v>
      </c>
    </row>
    <row r="105" ht="15" customHeight="1" spans="1:6">
      <c r="A105" s="5" t="s">
        <v>205</v>
      </c>
      <c r="B105" s="6" t="s">
        <v>136</v>
      </c>
      <c r="C105" s="6" t="s">
        <v>85</v>
      </c>
      <c r="D105" s="6" t="s">
        <v>86</v>
      </c>
      <c r="E105" s="6" t="s">
        <v>188</v>
      </c>
      <c r="F105" s="7">
        <v>17</v>
      </c>
    </row>
    <row r="106" ht="15" customHeight="1" spans="1:6">
      <c r="A106" s="5" t="s">
        <v>206</v>
      </c>
      <c r="B106" s="6" t="s">
        <v>101</v>
      </c>
      <c r="C106" s="6" t="s">
        <v>85</v>
      </c>
      <c r="D106" s="6" t="s">
        <v>86</v>
      </c>
      <c r="E106" s="6" t="s">
        <v>188</v>
      </c>
      <c r="F106" s="7">
        <v>18</v>
      </c>
    </row>
    <row r="107" ht="15" customHeight="1" spans="1:6">
      <c r="A107" s="5" t="s">
        <v>207</v>
      </c>
      <c r="B107" s="6" t="s">
        <v>105</v>
      </c>
      <c r="C107" s="6" t="s">
        <v>85</v>
      </c>
      <c r="D107" s="6" t="s">
        <v>86</v>
      </c>
      <c r="E107" s="6" t="s">
        <v>188</v>
      </c>
      <c r="F107" s="7">
        <v>19</v>
      </c>
    </row>
    <row r="108" ht="15" customHeight="1" spans="1:6">
      <c r="A108" s="5" t="s">
        <v>208</v>
      </c>
      <c r="B108" s="6" t="s">
        <v>183</v>
      </c>
      <c r="C108" s="6" t="s">
        <v>85</v>
      </c>
      <c r="D108" s="6" t="s">
        <v>86</v>
      </c>
      <c r="E108" s="6" t="s">
        <v>188</v>
      </c>
      <c r="F108" s="7">
        <v>20</v>
      </c>
    </row>
    <row r="109" ht="15" customHeight="1" spans="1:6">
      <c r="A109" s="5" t="s">
        <v>209</v>
      </c>
      <c r="B109" s="6" t="s">
        <v>95</v>
      </c>
      <c r="C109" s="6" t="s">
        <v>85</v>
      </c>
      <c r="D109" s="6" t="s">
        <v>86</v>
      </c>
      <c r="E109" s="6" t="s">
        <v>188</v>
      </c>
      <c r="F109" s="7">
        <v>21</v>
      </c>
    </row>
    <row r="110" ht="15" customHeight="1" spans="1:6">
      <c r="A110" s="5" t="s">
        <v>210</v>
      </c>
      <c r="B110" s="6" t="s">
        <v>132</v>
      </c>
      <c r="C110" s="6" t="s">
        <v>85</v>
      </c>
      <c r="D110" s="6" t="s">
        <v>86</v>
      </c>
      <c r="E110" s="6" t="s">
        <v>211</v>
      </c>
      <c r="F110" s="7">
        <v>1</v>
      </c>
    </row>
    <row r="111" ht="15" customHeight="1" spans="1:6">
      <c r="A111" s="5" t="s">
        <v>212</v>
      </c>
      <c r="B111" s="6" t="s">
        <v>130</v>
      </c>
      <c r="C111" s="6" t="s">
        <v>85</v>
      </c>
      <c r="D111" s="6" t="s">
        <v>86</v>
      </c>
      <c r="E111" s="6" t="s">
        <v>211</v>
      </c>
      <c r="F111" s="7">
        <v>2</v>
      </c>
    </row>
    <row r="112" ht="15" customHeight="1" spans="1:6">
      <c r="A112" s="5" t="s">
        <v>213</v>
      </c>
      <c r="B112" s="6" t="s">
        <v>91</v>
      </c>
      <c r="C112" s="6" t="s">
        <v>85</v>
      </c>
      <c r="D112" s="6" t="s">
        <v>86</v>
      </c>
      <c r="E112" s="6" t="s">
        <v>211</v>
      </c>
      <c r="F112" s="7">
        <v>3</v>
      </c>
    </row>
    <row r="113" ht="15" customHeight="1" spans="1:6">
      <c r="A113" s="5" t="s">
        <v>214</v>
      </c>
      <c r="B113" s="6" t="s">
        <v>133</v>
      </c>
      <c r="C113" s="6" t="s">
        <v>85</v>
      </c>
      <c r="D113" s="6" t="s">
        <v>86</v>
      </c>
      <c r="E113" s="6" t="s">
        <v>211</v>
      </c>
      <c r="F113" s="7">
        <v>4</v>
      </c>
    </row>
    <row r="114" ht="15" customHeight="1" spans="1:6">
      <c r="A114" s="5" t="s">
        <v>215</v>
      </c>
      <c r="B114" s="6" t="s">
        <v>101</v>
      </c>
      <c r="C114" s="6" t="s">
        <v>85</v>
      </c>
      <c r="D114" s="6" t="s">
        <v>86</v>
      </c>
      <c r="E114" s="6" t="s">
        <v>211</v>
      </c>
      <c r="F114" s="7">
        <v>5</v>
      </c>
    </row>
    <row r="115" ht="15" customHeight="1" spans="1:6">
      <c r="A115" s="5" t="s">
        <v>216</v>
      </c>
      <c r="B115" s="6" t="s">
        <v>217</v>
      </c>
      <c r="C115" s="6" t="s">
        <v>85</v>
      </c>
      <c r="D115" s="6" t="s">
        <v>86</v>
      </c>
      <c r="E115" s="6" t="s">
        <v>211</v>
      </c>
      <c r="F115" s="7">
        <v>6</v>
      </c>
    </row>
    <row r="116" ht="15" customHeight="1" spans="1:6">
      <c r="A116" s="5" t="s">
        <v>218</v>
      </c>
      <c r="B116" s="6" t="s">
        <v>105</v>
      </c>
      <c r="C116" s="6" t="s">
        <v>85</v>
      </c>
      <c r="D116" s="6" t="s">
        <v>86</v>
      </c>
      <c r="E116" s="6" t="s">
        <v>211</v>
      </c>
      <c r="F116" s="7">
        <v>7</v>
      </c>
    </row>
    <row r="117" ht="15" customHeight="1" spans="1:6">
      <c r="A117" s="5" t="s">
        <v>219</v>
      </c>
      <c r="B117" s="6" t="s">
        <v>113</v>
      </c>
      <c r="C117" s="6" t="s">
        <v>85</v>
      </c>
      <c r="D117" s="6" t="s">
        <v>86</v>
      </c>
      <c r="E117" s="6" t="s">
        <v>211</v>
      </c>
      <c r="F117" s="7">
        <v>8</v>
      </c>
    </row>
    <row r="118" ht="15" customHeight="1" spans="1:6">
      <c r="A118" s="5" t="s">
        <v>220</v>
      </c>
      <c r="B118" s="6" t="s">
        <v>131</v>
      </c>
      <c r="C118" s="6" t="s">
        <v>85</v>
      </c>
      <c r="D118" s="6" t="s">
        <v>86</v>
      </c>
      <c r="E118" s="6" t="s">
        <v>211</v>
      </c>
      <c r="F118" s="7">
        <v>9</v>
      </c>
    </row>
    <row r="119" ht="15" customHeight="1" spans="1:6">
      <c r="A119" s="5" t="s">
        <v>221</v>
      </c>
      <c r="B119" s="6" t="s">
        <v>95</v>
      </c>
      <c r="C119" s="6" t="s">
        <v>85</v>
      </c>
      <c r="D119" s="6" t="s">
        <v>86</v>
      </c>
      <c r="E119" s="6" t="s">
        <v>211</v>
      </c>
      <c r="F119" s="7">
        <v>10</v>
      </c>
    </row>
    <row r="120" ht="15" customHeight="1" spans="1:6">
      <c r="A120" s="5" t="s">
        <v>222</v>
      </c>
      <c r="B120" s="6" t="s">
        <v>84</v>
      </c>
      <c r="C120" s="6" t="s">
        <v>85</v>
      </c>
      <c r="D120" s="6" t="s">
        <v>86</v>
      </c>
      <c r="E120" s="6" t="s">
        <v>211</v>
      </c>
      <c r="F120" s="7">
        <v>11</v>
      </c>
    </row>
    <row r="121" ht="15" customHeight="1" spans="1:6">
      <c r="A121" s="5" t="s">
        <v>223</v>
      </c>
      <c r="B121" s="6" t="s">
        <v>136</v>
      </c>
      <c r="C121" s="6" t="s">
        <v>85</v>
      </c>
      <c r="D121" s="6" t="s">
        <v>86</v>
      </c>
      <c r="E121" s="6" t="s">
        <v>211</v>
      </c>
      <c r="F121" s="7">
        <v>12</v>
      </c>
    </row>
    <row r="122" ht="15" customHeight="1" spans="1:6">
      <c r="A122" s="5" t="s">
        <v>224</v>
      </c>
      <c r="B122" s="6" t="s">
        <v>107</v>
      </c>
      <c r="C122" s="6" t="s">
        <v>85</v>
      </c>
      <c r="D122" s="6" t="s">
        <v>86</v>
      </c>
      <c r="E122" s="6" t="s">
        <v>211</v>
      </c>
      <c r="F122" s="7">
        <v>13</v>
      </c>
    </row>
    <row r="123" ht="15" customHeight="1" spans="1:6">
      <c r="A123" s="5" t="s">
        <v>225</v>
      </c>
      <c r="B123" s="6" t="s">
        <v>138</v>
      </c>
      <c r="C123" s="6" t="s">
        <v>85</v>
      </c>
      <c r="D123" s="6" t="s">
        <v>86</v>
      </c>
      <c r="E123" s="6" t="s">
        <v>211</v>
      </c>
      <c r="F123" s="7">
        <v>14</v>
      </c>
    </row>
    <row r="124" ht="15" customHeight="1" spans="1:6">
      <c r="A124" s="5" t="s">
        <v>226</v>
      </c>
      <c r="B124" s="6" t="s">
        <v>147</v>
      </c>
      <c r="C124" s="6" t="s">
        <v>85</v>
      </c>
      <c r="D124" s="6" t="s">
        <v>86</v>
      </c>
      <c r="E124" s="6" t="s">
        <v>211</v>
      </c>
      <c r="F124" s="7">
        <v>15</v>
      </c>
    </row>
    <row r="125" ht="15" customHeight="1" spans="1:6">
      <c r="A125" s="5" t="s">
        <v>227</v>
      </c>
      <c r="B125" s="6" t="s">
        <v>134</v>
      </c>
      <c r="C125" s="6" t="s">
        <v>85</v>
      </c>
      <c r="D125" s="6" t="s">
        <v>86</v>
      </c>
      <c r="E125" s="6" t="s">
        <v>211</v>
      </c>
      <c r="F125" s="7">
        <v>16</v>
      </c>
    </row>
    <row r="126" ht="15" customHeight="1" spans="1:6">
      <c r="A126" s="5" t="s">
        <v>228</v>
      </c>
      <c r="B126" s="6" t="s">
        <v>101</v>
      </c>
      <c r="C126" s="6" t="s">
        <v>85</v>
      </c>
      <c r="D126" s="6" t="s">
        <v>86</v>
      </c>
      <c r="E126" s="6" t="s">
        <v>211</v>
      </c>
      <c r="F126" s="7">
        <v>17</v>
      </c>
    </row>
    <row r="127" ht="15" customHeight="1" spans="1:6">
      <c r="A127" s="5" t="s">
        <v>229</v>
      </c>
      <c r="B127" s="6" t="s">
        <v>111</v>
      </c>
      <c r="C127" s="6" t="s">
        <v>85</v>
      </c>
      <c r="D127" s="6" t="s">
        <v>86</v>
      </c>
      <c r="E127" s="6" t="s">
        <v>211</v>
      </c>
      <c r="F127" s="7">
        <v>18</v>
      </c>
    </row>
    <row r="128" ht="15" customHeight="1" spans="1:6">
      <c r="A128" s="5" t="s">
        <v>230</v>
      </c>
      <c r="B128" s="6" t="s">
        <v>140</v>
      </c>
      <c r="C128" s="6" t="s">
        <v>85</v>
      </c>
      <c r="D128" s="6" t="s">
        <v>86</v>
      </c>
      <c r="E128" s="6" t="s">
        <v>211</v>
      </c>
      <c r="F128" s="7">
        <v>19</v>
      </c>
    </row>
    <row r="129" ht="15" customHeight="1" spans="1:6">
      <c r="A129" s="5" t="s">
        <v>231</v>
      </c>
      <c r="B129" s="6" t="s">
        <v>124</v>
      </c>
      <c r="C129" s="6" t="s">
        <v>85</v>
      </c>
      <c r="D129" s="6" t="s">
        <v>86</v>
      </c>
      <c r="E129" s="6" t="s">
        <v>211</v>
      </c>
      <c r="F129" s="7">
        <v>20</v>
      </c>
    </row>
    <row r="130" ht="15" customHeight="1" spans="1:6">
      <c r="A130" s="5" t="s">
        <v>232</v>
      </c>
      <c r="B130" s="6" t="s">
        <v>93</v>
      </c>
      <c r="C130" s="6" t="s">
        <v>85</v>
      </c>
      <c r="D130" s="6" t="s">
        <v>86</v>
      </c>
      <c r="E130" s="6" t="s">
        <v>211</v>
      </c>
      <c r="F130" s="7">
        <v>21</v>
      </c>
    </row>
    <row r="131" ht="15" customHeight="1" spans="1:6">
      <c r="A131" s="5" t="s">
        <v>233</v>
      </c>
      <c r="B131" s="6" t="s">
        <v>124</v>
      </c>
      <c r="C131" s="6" t="s">
        <v>85</v>
      </c>
      <c r="D131" s="6" t="s">
        <v>86</v>
      </c>
      <c r="E131" s="6" t="s">
        <v>234</v>
      </c>
      <c r="F131" s="7">
        <v>1</v>
      </c>
    </row>
    <row r="132" ht="15" customHeight="1" spans="1:6">
      <c r="A132" s="5" t="s">
        <v>235</v>
      </c>
      <c r="B132" s="6" t="s">
        <v>132</v>
      </c>
      <c r="C132" s="6" t="s">
        <v>85</v>
      </c>
      <c r="D132" s="6" t="s">
        <v>86</v>
      </c>
      <c r="E132" s="6" t="s">
        <v>234</v>
      </c>
      <c r="F132" s="7">
        <v>2</v>
      </c>
    </row>
    <row r="133" ht="15" customHeight="1" spans="1:6">
      <c r="A133" s="5" t="s">
        <v>236</v>
      </c>
      <c r="B133" s="6" t="s">
        <v>93</v>
      </c>
      <c r="C133" s="6" t="s">
        <v>85</v>
      </c>
      <c r="D133" s="6" t="s">
        <v>86</v>
      </c>
      <c r="E133" s="6" t="s">
        <v>234</v>
      </c>
      <c r="F133" s="7">
        <v>3</v>
      </c>
    </row>
    <row r="134" ht="15" customHeight="1" spans="1:6">
      <c r="A134" s="5" t="s">
        <v>237</v>
      </c>
      <c r="B134" s="6" t="s">
        <v>117</v>
      </c>
      <c r="C134" s="6" t="s">
        <v>85</v>
      </c>
      <c r="D134" s="6" t="s">
        <v>86</v>
      </c>
      <c r="E134" s="6" t="s">
        <v>234</v>
      </c>
      <c r="F134" s="7">
        <v>4</v>
      </c>
    </row>
    <row r="135" ht="15" customHeight="1" spans="1:6">
      <c r="A135" s="5" t="s">
        <v>238</v>
      </c>
      <c r="B135" s="6" t="s">
        <v>131</v>
      </c>
      <c r="C135" s="6" t="s">
        <v>85</v>
      </c>
      <c r="D135" s="6" t="s">
        <v>86</v>
      </c>
      <c r="E135" s="6" t="s">
        <v>234</v>
      </c>
      <c r="F135" s="7">
        <v>5</v>
      </c>
    </row>
    <row r="136" ht="15" customHeight="1" spans="1:6">
      <c r="A136" s="5" t="s">
        <v>239</v>
      </c>
      <c r="B136" s="6" t="s">
        <v>101</v>
      </c>
      <c r="C136" s="6" t="s">
        <v>85</v>
      </c>
      <c r="D136" s="6" t="s">
        <v>86</v>
      </c>
      <c r="E136" s="6" t="s">
        <v>234</v>
      </c>
      <c r="F136" s="7">
        <v>6</v>
      </c>
    </row>
    <row r="137" ht="15" customHeight="1" spans="1:6">
      <c r="A137" s="5" t="s">
        <v>240</v>
      </c>
      <c r="B137" s="6" t="s">
        <v>95</v>
      </c>
      <c r="C137" s="6" t="s">
        <v>85</v>
      </c>
      <c r="D137" s="6" t="s">
        <v>86</v>
      </c>
      <c r="E137" s="6" t="s">
        <v>234</v>
      </c>
      <c r="F137" s="7">
        <v>7</v>
      </c>
    </row>
    <row r="138" ht="15" customHeight="1" spans="1:6">
      <c r="A138" s="5" t="s">
        <v>241</v>
      </c>
      <c r="B138" s="6" t="s">
        <v>91</v>
      </c>
      <c r="C138" s="6" t="s">
        <v>85</v>
      </c>
      <c r="D138" s="6" t="s">
        <v>86</v>
      </c>
      <c r="E138" s="6" t="s">
        <v>234</v>
      </c>
      <c r="F138" s="7">
        <v>8</v>
      </c>
    </row>
    <row r="139" ht="15" customHeight="1" spans="1:6">
      <c r="A139" s="5" t="s">
        <v>242</v>
      </c>
      <c r="B139" s="6" t="s">
        <v>243</v>
      </c>
      <c r="C139" s="6" t="s">
        <v>85</v>
      </c>
      <c r="D139" s="6" t="s">
        <v>86</v>
      </c>
      <c r="E139" s="6" t="s">
        <v>234</v>
      </c>
      <c r="F139" s="7">
        <v>9</v>
      </c>
    </row>
    <row r="140" ht="15" customHeight="1" spans="1:6">
      <c r="A140" s="5" t="s">
        <v>244</v>
      </c>
      <c r="B140" s="6" t="s">
        <v>105</v>
      </c>
      <c r="C140" s="6" t="s">
        <v>85</v>
      </c>
      <c r="D140" s="6" t="s">
        <v>86</v>
      </c>
      <c r="E140" s="6" t="s">
        <v>234</v>
      </c>
      <c r="F140" s="7">
        <v>10</v>
      </c>
    </row>
    <row r="141" ht="15" customHeight="1" spans="1:6">
      <c r="A141" s="5" t="s">
        <v>245</v>
      </c>
      <c r="B141" s="6" t="s">
        <v>111</v>
      </c>
      <c r="C141" s="6" t="s">
        <v>85</v>
      </c>
      <c r="D141" s="6" t="s">
        <v>86</v>
      </c>
      <c r="E141" s="6" t="s">
        <v>234</v>
      </c>
      <c r="F141" s="7">
        <v>11</v>
      </c>
    </row>
    <row r="142" ht="15" customHeight="1" spans="1:6">
      <c r="A142" s="5" t="s">
        <v>246</v>
      </c>
      <c r="B142" s="6" t="s">
        <v>138</v>
      </c>
      <c r="C142" s="6" t="s">
        <v>85</v>
      </c>
      <c r="D142" s="6" t="s">
        <v>86</v>
      </c>
      <c r="E142" s="6" t="s">
        <v>234</v>
      </c>
      <c r="F142" s="7">
        <v>12</v>
      </c>
    </row>
    <row r="143" ht="15" customHeight="1" spans="1:6">
      <c r="A143" s="5" t="s">
        <v>247</v>
      </c>
      <c r="B143" s="6" t="s">
        <v>140</v>
      </c>
      <c r="C143" s="6" t="s">
        <v>85</v>
      </c>
      <c r="D143" s="6" t="s">
        <v>86</v>
      </c>
      <c r="E143" s="6" t="s">
        <v>234</v>
      </c>
      <c r="F143" s="7">
        <v>13</v>
      </c>
    </row>
    <row r="144" ht="15" customHeight="1" spans="1:6">
      <c r="A144" s="5" t="s">
        <v>248</v>
      </c>
      <c r="B144" s="6" t="s">
        <v>91</v>
      </c>
      <c r="C144" s="6" t="s">
        <v>85</v>
      </c>
      <c r="D144" s="6" t="s">
        <v>86</v>
      </c>
      <c r="E144" s="6" t="s">
        <v>234</v>
      </c>
      <c r="F144" s="7">
        <v>14</v>
      </c>
    </row>
    <row r="145" ht="15" customHeight="1" spans="1:6">
      <c r="A145" s="5" t="s">
        <v>249</v>
      </c>
      <c r="B145" s="6" t="s">
        <v>130</v>
      </c>
      <c r="C145" s="6" t="s">
        <v>85</v>
      </c>
      <c r="D145" s="6" t="s">
        <v>86</v>
      </c>
      <c r="E145" s="6" t="s">
        <v>234</v>
      </c>
      <c r="F145" s="7">
        <v>15</v>
      </c>
    </row>
    <row r="146" ht="15" customHeight="1" spans="1:6">
      <c r="A146" s="5" t="s">
        <v>250</v>
      </c>
      <c r="B146" s="6" t="s">
        <v>107</v>
      </c>
      <c r="C146" s="6" t="s">
        <v>85</v>
      </c>
      <c r="D146" s="6" t="s">
        <v>86</v>
      </c>
      <c r="E146" s="6" t="s">
        <v>234</v>
      </c>
      <c r="F146" s="7">
        <v>16</v>
      </c>
    </row>
    <row r="147" ht="15" customHeight="1" spans="1:6">
      <c r="A147" s="5" t="s">
        <v>251</v>
      </c>
      <c r="B147" s="6" t="s">
        <v>136</v>
      </c>
      <c r="C147" s="6" t="s">
        <v>85</v>
      </c>
      <c r="D147" s="6" t="s">
        <v>86</v>
      </c>
      <c r="E147" s="6" t="s">
        <v>234</v>
      </c>
      <c r="F147" s="7">
        <v>17</v>
      </c>
    </row>
    <row r="148" ht="15" customHeight="1" spans="1:6">
      <c r="A148" s="5" t="s">
        <v>252</v>
      </c>
      <c r="B148" s="6" t="s">
        <v>134</v>
      </c>
      <c r="C148" s="6" t="s">
        <v>85</v>
      </c>
      <c r="D148" s="6" t="s">
        <v>86</v>
      </c>
      <c r="E148" s="6" t="s">
        <v>234</v>
      </c>
      <c r="F148" s="7">
        <v>18</v>
      </c>
    </row>
    <row r="149" ht="15" customHeight="1" spans="1:6">
      <c r="A149" s="5" t="s">
        <v>253</v>
      </c>
      <c r="B149" s="6" t="s">
        <v>133</v>
      </c>
      <c r="C149" s="6" t="s">
        <v>85</v>
      </c>
      <c r="D149" s="6" t="s">
        <v>86</v>
      </c>
      <c r="E149" s="6" t="s">
        <v>234</v>
      </c>
      <c r="F149" s="7">
        <v>19</v>
      </c>
    </row>
    <row r="150" ht="15" customHeight="1" spans="1:6">
      <c r="A150" s="5" t="s">
        <v>254</v>
      </c>
      <c r="B150" s="6" t="s">
        <v>126</v>
      </c>
      <c r="C150" s="6" t="s">
        <v>85</v>
      </c>
      <c r="D150" s="6" t="s">
        <v>86</v>
      </c>
      <c r="E150" s="6" t="s">
        <v>234</v>
      </c>
      <c r="F150" s="7">
        <v>20</v>
      </c>
    </row>
    <row r="151" ht="15" customHeight="1" spans="1:6">
      <c r="A151" s="5" t="s">
        <v>255</v>
      </c>
      <c r="B151" s="6" t="s">
        <v>84</v>
      </c>
      <c r="C151" s="6" t="s">
        <v>85</v>
      </c>
      <c r="D151" s="6" t="s">
        <v>86</v>
      </c>
      <c r="E151" s="6" t="s">
        <v>234</v>
      </c>
      <c r="F151" s="7">
        <v>21</v>
      </c>
    </row>
    <row r="152" ht="15" customHeight="1" spans="1:6">
      <c r="A152" s="5" t="s">
        <v>256</v>
      </c>
      <c r="B152" s="6" t="s">
        <v>105</v>
      </c>
      <c r="C152" s="6" t="s">
        <v>85</v>
      </c>
      <c r="D152" s="6" t="s">
        <v>86</v>
      </c>
      <c r="E152" s="6" t="s">
        <v>257</v>
      </c>
      <c r="F152" s="7">
        <v>1</v>
      </c>
    </row>
    <row r="153" ht="15" customHeight="1" spans="1:6">
      <c r="A153" s="5" t="s">
        <v>258</v>
      </c>
      <c r="B153" s="6" t="s">
        <v>107</v>
      </c>
      <c r="C153" s="6" t="s">
        <v>85</v>
      </c>
      <c r="D153" s="6" t="s">
        <v>86</v>
      </c>
      <c r="E153" s="6" t="s">
        <v>257</v>
      </c>
      <c r="F153" s="7">
        <v>2</v>
      </c>
    </row>
    <row r="154" ht="15" customHeight="1" spans="1:6">
      <c r="A154" s="5" t="s">
        <v>259</v>
      </c>
      <c r="B154" s="6" t="s">
        <v>119</v>
      </c>
      <c r="C154" s="6" t="s">
        <v>85</v>
      </c>
      <c r="D154" s="6" t="s">
        <v>86</v>
      </c>
      <c r="E154" s="6" t="s">
        <v>257</v>
      </c>
      <c r="F154" s="7">
        <v>3</v>
      </c>
    </row>
    <row r="155" ht="15" customHeight="1" spans="1:6">
      <c r="A155" s="5" t="s">
        <v>260</v>
      </c>
      <c r="B155" s="6" t="s">
        <v>113</v>
      </c>
      <c r="C155" s="6" t="s">
        <v>85</v>
      </c>
      <c r="D155" s="6" t="s">
        <v>86</v>
      </c>
      <c r="E155" s="6" t="s">
        <v>257</v>
      </c>
      <c r="F155" s="7">
        <v>4</v>
      </c>
    </row>
    <row r="156" ht="15" customHeight="1" spans="1:6">
      <c r="A156" s="5" t="s">
        <v>261</v>
      </c>
      <c r="B156" s="6" t="s">
        <v>89</v>
      </c>
      <c r="C156" s="6" t="s">
        <v>85</v>
      </c>
      <c r="D156" s="6" t="s">
        <v>86</v>
      </c>
      <c r="E156" s="6" t="s">
        <v>257</v>
      </c>
      <c r="F156" s="7">
        <v>5</v>
      </c>
    </row>
    <row r="157" ht="15" customHeight="1" spans="1:6">
      <c r="A157" s="5" t="s">
        <v>262</v>
      </c>
      <c r="B157" s="6" t="s">
        <v>263</v>
      </c>
      <c r="C157" s="6" t="s">
        <v>85</v>
      </c>
      <c r="D157" s="6" t="s">
        <v>86</v>
      </c>
      <c r="E157" s="6" t="s">
        <v>257</v>
      </c>
      <c r="F157" s="7">
        <v>6</v>
      </c>
    </row>
    <row r="158" ht="15" customHeight="1" spans="1:6">
      <c r="A158" s="5" t="s">
        <v>264</v>
      </c>
      <c r="B158" s="6" t="s">
        <v>111</v>
      </c>
      <c r="C158" s="6" t="s">
        <v>85</v>
      </c>
      <c r="D158" s="6" t="s">
        <v>86</v>
      </c>
      <c r="E158" s="6" t="s">
        <v>257</v>
      </c>
      <c r="F158" s="7">
        <v>7</v>
      </c>
    </row>
    <row r="159" ht="15" customHeight="1" spans="1:6">
      <c r="A159" s="5" t="s">
        <v>265</v>
      </c>
      <c r="B159" s="6" t="s">
        <v>130</v>
      </c>
      <c r="C159" s="6" t="s">
        <v>85</v>
      </c>
      <c r="D159" s="6" t="s">
        <v>86</v>
      </c>
      <c r="E159" s="6" t="s">
        <v>257</v>
      </c>
      <c r="F159" s="7">
        <v>8</v>
      </c>
    </row>
    <row r="160" ht="15" customHeight="1" spans="1:6">
      <c r="A160" s="5" t="s">
        <v>266</v>
      </c>
      <c r="B160" s="6" t="s">
        <v>91</v>
      </c>
      <c r="C160" s="6" t="s">
        <v>85</v>
      </c>
      <c r="D160" s="6" t="s">
        <v>86</v>
      </c>
      <c r="E160" s="6" t="s">
        <v>257</v>
      </c>
      <c r="F160" s="7">
        <v>9</v>
      </c>
    </row>
    <row r="161" ht="15" customHeight="1" spans="1:6">
      <c r="A161" s="5" t="s">
        <v>267</v>
      </c>
      <c r="B161" s="6" t="s">
        <v>122</v>
      </c>
      <c r="C161" s="6" t="s">
        <v>85</v>
      </c>
      <c r="D161" s="6" t="s">
        <v>86</v>
      </c>
      <c r="E161" s="6" t="s">
        <v>257</v>
      </c>
      <c r="F161" s="7">
        <v>10</v>
      </c>
    </row>
    <row r="162" ht="15" customHeight="1" spans="1:6">
      <c r="A162" s="5" t="s">
        <v>268</v>
      </c>
      <c r="B162" s="6" t="s">
        <v>101</v>
      </c>
      <c r="C162" s="6" t="s">
        <v>85</v>
      </c>
      <c r="D162" s="6" t="s">
        <v>86</v>
      </c>
      <c r="E162" s="6" t="s">
        <v>257</v>
      </c>
      <c r="F162" s="7">
        <v>11</v>
      </c>
    </row>
    <row r="163" ht="15" customHeight="1" spans="1:6">
      <c r="A163" s="5" t="s">
        <v>269</v>
      </c>
      <c r="B163" s="6" t="s">
        <v>134</v>
      </c>
      <c r="C163" s="6" t="s">
        <v>85</v>
      </c>
      <c r="D163" s="6" t="s">
        <v>86</v>
      </c>
      <c r="E163" s="6" t="s">
        <v>257</v>
      </c>
      <c r="F163" s="7">
        <v>12</v>
      </c>
    </row>
    <row r="164" ht="15" customHeight="1" spans="1:6">
      <c r="A164" s="5" t="s">
        <v>270</v>
      </c>
      <c r="B164" s="6" t="s">
        <v>95</v>
      </c>
      <c r="C164" s="6" t="s">
        <v>85</v>
      </c>
      <c r="D164" s="6" t="s">
        <v>86</v>
      </c>
      <c r="E164" s="6" t="s">
        <v>257</v>
      </c>
      <c r="F164" s="7">
        <v>13</v>
      </c>
    </row>
    <row r="165" ht="15" customHeight="1" spans="1:6">
      <c r="A165" s="5" t="s">
        <v>271</v>
      </c>
      <c r="B165" s="6" t="s">
        <v>140</v>
      </c>
      <c r="C165" s="6" t="s">
        <v>85</v>
      </c>
      <c r="D165" s="6" t="s">
        <v>86</v>
      </c>
      <c r="E165" s="6" t="s">
        <v>257</v>
      </c>
      <c r="F165" s="7">
        <v>14</v>
      </c>
    </row>
    <row r="166" ht="15" customHeight="1" spans="1:6">
      <c r="A166" s="5" t="s">
        <v>272</v>
      </c>
      <c r="B166" s="6" t="s">
        <v>97</v>
      </c>
      <c r="C166" s="6" t="s">
        <v>85</v>
      </c>
      <c r="D166" s="6" t="s">
        <v>86</v>
      </c>
      <c r="E166" s="6" t="s">
        <v>257</v>
      </c>
      <c r="F166" s="7">
        <v>15</v>
      </c>
    </row>
    <row r="167" ht="15" customHeight="1" spans="1:6">
      <c r="A167" s="5" t="s">
        <v>273</v>
      </c>
      <c r="B167" s="6" t="s">
        <v>274</v>
      </c>
      <c r="C167" s="6" t="s">
        <v>85</v>
      </c>
      <c r="D167" s="6" t="s">
        <v>86</v>
      </c>
      <c r="E167" s="6" t="s">
        <v>257</v>
      </c>
      <c r="F167" s="7">
        <v>16</v>
      </c>
    </row>
    <row r="168" ht="15" customHeight="1" spans="1:6">
      <c r="A168" s="5" t="s">
        <v>275</v>
      </c>
      <c r="B168" s="6" t="s">
        <v>109</v>
      </c>
      <c r="C168" s="6" t="s">
        <v>85</v>
      </c>
      <c r="D168" s="6" t="s">
        <v>86</v>
      </c>
      <c r="E168" s="6" t="s">
        <v>257</v>
      </c>
      <c r="F168" s="7">
        <v>17</v>
      </c>
    </row>
    <row r="169" ht="15" customHeight="1" spans="1:6">
      <c r="A169" s="5" t="s">
        <v>276</v>
      </c>
      <c r="B169" s="6" t="s">
        <v>277</v>
      </c>
      <c r="C169" s="6" t="s">
        <v>85</v>
      </c>
      <c r="D169" s="6" t="s">
        <v>86</v>
      </c>
      <c r="E169" s="6" t="s">
        <v>257</v>
      </c>
      <c r="F169" s="7">
        <v>18</v>
      </c>
    </row>
    <row r="170" ht="15" customHeight="1" spans="1:6">
      <c r="A170" s="5" t="s">
        <v>278</v>
      </c>
      <c r="B170" s="6" t="s">
        <v>128</v>
      </c>
      <c r="C170" s="6" t="s">
        <v>85</v>
      </c>
      <c r="D170" s="6" t="s">
        <v>86</v>
      </c>
      <c r="E170" s="6" t="s">
        <v>257</v>
      </c>
      <c r="F170" s="7">
        <v>19</v>
      </c>
    </row>
    <row r="171" ht="15" customHeight="1" spans="1:6">
      <c r="A171" s="5" t="s">
        <v>279</v>
      </c>
      <c r="B171" s="6" t="s">
        <v>93</v>
      </c>
      <c r="C171" s="6" t="s">
        <v>85</v>
      </c>
      <c r="D171" s="6" t="s">
        <v>86</v>
      </c>
      <c r="E171" s="6" t="s">
        <v>257</v>
      </c>
      <c r="F171" s="7">
        <v>20</v>
      </c>
    </row>
    <row r="172" ht="15" customHeight="1" spans="1:6">
      <c r="A172" s="5" t="s">
        <v>280</v>
      </c>
      <c r="B172" s="6" t="s">
        <v>99</v>
      </c>
      <c r="C172" s="6" t="s">
        <v>85</v>
      </c>
      <c r="D172" s="6" t="s">
        <v>86</v>
      </c>
      <c r="E172" s="6" t="s">
        <v>257</v>
      </c>
      <c r="F172" s="7">
        <v>21</v>
      </c>
    </row>
    <row r="173" ht="15" customHeight="1" spans="1:6">
      <c r="A173" s="5" t="s">
        <v>281</v>
      </c>
      <c r="B173" s="6" t="s">
        <v>126</v>
      </c>
      <c r="C173" s="6" t="s">
        <v>85</v>
      </c>
      <c r="D173" s="6" t="s">
        <v>86</v>
      </c>
      <c r="E173" s="6" t="s">
        <v>257</v>
      </c>
      <c r="F173" s="7">
        <v>22</v>
      </c>
    </row>
    <row r="174" ht="15" customHeight="1" spans="1:6">
      <c r="A174" s="5" t="s">
        <v>282</v>
      </c>
      <c r="B174" s="6" t="s">
        <v>131</v>
      </c>
      <c r="C174" s="6" t="s">
        <v>85</v>
      </c>
      <c r="D174" s="6" t="s">
        <v>283</v>
      </c>
      <c r="E174" s="6" t="s">
        <v>284</v>
      </c>
      <c r="F174" s="7">
        <v>1</v>
      </c>
    </row>
    <row r="175" ht="15" customHeight="1" spans="1:6">
      <c r="A175" s="5" t="s">
        <v>285</v>
      </c>
      <c r="B175" s="6" t="s">
        <v>138</v>
      </c>
      <c r="C175" s="6" t="s">
        <v>85</v>
      </c>
      <c r="D175" s="6" t="s">
        <v>283</v>
      </c>
      <c r="E175" s="6" t="s">
        <v>284</v>
      </c>
      <c r="F175" s="7">
        <v>2</v>
      </c>
    </row>
    <row r="176" ht="15" customHeight="1" spans="1:6">
      <c r="A176" s="5" t="s">
        <v>286</v>
      </c>
      <c r="B176" s="6" t="s">
        <v>181</v>
      </c>
      <c r="C176" s="6" t="s">
        <v>85</v>
      </c>
      <c r="D176" s="6" t="s">
        <v>283</v>
      </c>
      <c r="E176" s="6" t="s">
        <v>284</v>
      </c>
      <c r="F176" s="7">
        <v>3</v>
      </c>
    </row>
    <row r="177" ht="15" customHeight="1" spans="1:6">
      <c r="A177" s="5" t="s">
        <v>287</v>
      </c>
      <c r="B177" s="6" t="s">
        <v>124</v>
      </c>
      <c r="C177" s="6" t="s">
        <v>85</v>
      </c>
      <c r="D177" s="6" t="s">
        <v>283</v>
      </c>
      <c r="E177" s="6" t="s">
        <v>284</v>
      </c>
      <c r="F177" s="7">
        <v>4</v>
      </c>
    </row>
    <row r="178" ht="15" customHeight="1" spans="1:6">
      <c r="A178" s="5" t="s">
        <v>288</v>
      </c>
      <c r="B178" s="6" t="s">
        <v>111</v>
      </c>
      <c r="C178" s="6" t="s">
        <v>85</v>
      </c>
      <c r="D178" s="6" t="s">
        <v>283</v>
      </c>
      <c r="E178" s="6" t="s">
        <v>284</v>
      </c>
      <c r="F178" s="7">
        <v>5</v>
      </c>
    </row>
    <row r="179" ht="15" customHeight="1" spans="1:6">
      <c r="A179" s="5" t="s">
        <v>289</v>
      </c>
      <c r="B179" s="6" t="s">
        <v>131</v>
      </c>
      <c r="C179" s="6" t="s">
        <v>85</v>
      </c>
      <c r="D179" s="6" t="s">
        <v>283</v>
      </c>
      <c r="E179" s="6" t="s">
        <v>284</v>
      </c>
      <c r="F179" s="7">
        <v>6</v>
      </c>
    </row>
    <row r="180" ht="15" customHeight="1" spans="1:6">
      <c r="A180" s="5" t="s">
        <v>290</v>
      </c>
      <c r="B180" s="6" t="s">
        <v>119</v>
      </c>
      <c r="C180" s="6" t="s">
        <v>85</v>
      </c>
      <c r="D180" s="6" t="s">
        <v>283</v>
      </c>
      <c r="E180" s="6" t="s">
        <v>284</v>
      </c>
      <c r="F180" s="7">
        <v>7</v>
      </c>
    </row>
    <row r="181" ht="15" customHeight="1" spans="1:6">
      <c r="A181" s="5" t="s">
        <v>291</v>
      </c>
      <c r="B181" s="6" t="s">
        <v>113</v>
      </c>
      <c r="C181" s="6" t="s">
        <v>85</v>
      </c>
      <c r="D181" s="6" t="s">
        <v>283</v>
      </c>
      <c r="E181" s="6" t="s">
        <v>284</v>
      </c>
      <c r="F181" s="7">
        <v>8</v>
      </c>
    </row>
    <row r="182" ht="15" customHeight="1" spans="1:6">
      <c r="A182" s="5" t="s">
        <v>292</v>
      </c>
      <c r="B182" s="6" t="s">
        <v>124</v>
      </c>
      <c r="C182" s="6" t="s">
        <v>85</v>
      </c>
      <c r="D182" s="6" t="s">
        <v>283</v>
      </c>
      <c r="E182" s="6" t="s">
        <v>284</v>
      </c>
      <c r="F182" s="7">
        <v>9</v>
      </c>
    </row>
    <row r="183" ht="15" customHeight="1" spans="1:6">
      <c r="A183" s="5" t="s">
        <v>293</v>
      </c>
      <c r="B183" s="6" t="s">
        <v>130</v>
      </c>
      <c r="C183" s="6" t="s">
        <v>85</v>
      </c>
      <c r="D183" s="6" t="s">
        <v>283</v>
      </c>
      <c r="E183" s="6" t="s">
        <v>284</v>
      </c>
      <c r="F183" s="7">
        <v>10</v>
      </c>
    </row>
    <row r="184" ht="15" customHeight="1" spans="1:6">
      <c r="A184" s="5" t="s">
        <v>294</v>
      </c>
      <c r="B184" s="6" t="s">
        <v>111</v>
      </c>
      <c r="C184" s="6" t="s">
        <v>85</v>
      </c>
      <c r="D184" s="6" t="s">
        <v>283</v>
      </c>
      <c r="E184" s="6" t="s">
        <v>284</v>
      </c>
      <c r="F184" s="7">
        <v>11</v>
      </c>
    </row>
    <row r="185" ht="15" customHeight="1" spans="1:6">
      <c r="A185" s="5" t="s">
        <v>295</v>
      </c>
      <c r="B185" s="6" t="s">
        <v>89</v>
      </c>
      <c r="C185" s="6" t="s">
        <v>85</v>
      </c>
      <c r="D185" s="6" t="s">
        <v>283</v>
      </c>
      <c r="E185" s="6" t="s">
        <v>284</v>
      </c>
      <c r="F185" s="7">
        <v>12</v>
      </c>
    </row>
    <row r="186" ht="15" customHeight="1" spans="1:6">
      <c r="A186" s="5" t="s">
        <v>296</v>
      </c>
      <c r="B186" s="6" t="s">
        <v>133</v>
      </c>
      <c r="C186" s="6" t="s">
        <v>85</v>
      </c>
      <c r="D186" s="6" t="s">
        <v>283</v>
      </c>
      <c r="E186" s="6" t="s">
        <v>284</v>
      </c>
      <c r="F186" s="7">
        <v>13</v>
      </c>
    </row>
    <row r="187" ht="15" customHeight="1" spans="1:6">
      <c r="A187" s="5" t="s">
        <v>297</v>
      </c>
      <c r="B187" s="6" t="s">
        <v>298</v>
      </c>
      <c r="C187" s="6" t="s">
        <v>85</v>
      </c>
      <c r="D187" s="6" t="s">
        <v>283</v>
      </c>
      <c r="E187" s="6" t="s">
        <v>284</v>
      </c>
      <c r="F187" s="7">
        <v>14</v>
      </c>
    </row>
    <row r="188" ht="15" customHeight="1" spans="1:6">
      <c r="A188" s="5" t="s">
        <v>299</v>
      </c>
      <c r="B188" s="6" t="s">
        <v>93</v>
      </c>
      <c r="C188" s="6" t="s">
        <v>85</v>
      </c>
      <c r="D188" s="6" t="s">
        <v>283</v>
      </c>
      <c r="E188" s="6" t="s">
        <v>284</v>
      </c>
      <c r="F188" s="7">
        <v>15</v>
      </c>
    </row>
    <row r="189" ht="15" customHeight="1" spans="1:6">
      <c r="A189" s="5" t="s">
        <v>300</v>
      </c>
      <c r="B189" s="6" t="s">
        <v>93</v>
      </c>
      <c r="C189" s="6" t="s">
        <v>85</v>
      </c>
      <c r="D189" s="6" t="s">
        <v>283</v>
      </c>
      <c r="E189" s="6" t="s">
        <v>284</v>
      </c>
      <c r="F189" s="7">
        <v>16</v>
      </c>
    </row>
    <row r="190" ht="15" customHeight="1" spans="1:6">
      <c r="A190" s="5" t="s">
        <v>301</v>
      </c>
      <c r="B190" s="6" t="s">
        <v>158</v>
      </c>
      <c r="C190" s="6" t="s">
        <v>85</v>
      </c>
      <c r="D190" s="6" t="s">
        <v>283</v>
      </c>
      <c r="E190" s="6" t="s">
        <v>284</v>
      </c>
      <c r="F190" s="7">
        <v>17</v>
      </c>
    </row>
    <row r="191" ht="15" customHeight="1" spans="1:6">
      <c r="A191" s="5" t="s">
        <v>302</v>
      </c>
      <c r="B191" s="6" t="s">
        <v>117</v>
      </c>
      <c r="C191" s="6" t="s">
        <v>85</v>
      </c>
      <c r="D191" s="6" t="s">
        <v>283</v>
      </c>
      <c r="E191" s="6" t="s">
        <v>284</v>
      </c>
      <c r="F191" s="7">
        <v>18</v>
      </c>
    </row>
    <row r="192" ht="15" customHeight="1" spans="1:6">
      <c r="A192" s="5" t="s">
        <v>303</v>
      </c>
      <c r="B192" s="6" t="s">
        <v>304</v>
      </c>
      <c r="C192" s="6" t="s">
        <v>85</v>
      </c>
      <c r="D192" s="6" t="s">
        <v>283</v>
      </c>
      <c r="E192" s="6" t="s">
        <v>284</v>
      </c>
      <c r="F192" s="7">
        <v>19</v>
      </c>
    </row>
    <row r="193" ht="15" customHeight="1" spans="1:6">
      <c r="A193" s="5" t="s">
        <v>305</v>
      </c>
      <c r="B193" s="6" t="s">
        <v>140</v>
      </c>
      <c r="C193" s="6" t="s">
        <v>85</v>
      </c>
      <c r="D193" s="6" t="s">
        <v>283</v>
      </c>
      <c r="E193" s="6" t="s">
        <v>284</v>
      </c>
      <c r="F193" s="7">
        <v>20</v>
      </c>
    </row>
    <row r="194" ht="15" customHeight="1" spans="1:6">
      <c r="A194" s="5" t="s">
        <v>306</v>
      </c>
      <c r="B194" s="6" t="s">
        <v>109</v>
      </c>
      <c r="C194" s="6" t="s">
        <v>85</v>
      </c>
      <c r="D194" s="6" t="s">
        <v>283</v>
      </c>
      <c r="E194" s="6" t="s">
        <v>284</v>
      </c>
      <c r="F194" s="7">
        <v>21</v>
      </c>
    </row>
    <row r="195" ht="15" customHeight="1" spans="1:6">
      <c r="A195" s="5" t="s">
        <v>307</v>
      </c>
      <c r="B195" s="6" t="s">
        <v>308</v>
      </c>
      <c r="C195" s="6" t="s">
        <v>85</v>
      </c>
      <c r="D195" s="6" t="s">
        <v>283</v>
      </c>
      <c r="E195" s="6" t="s">
        <v>284</v>
      </c>
      <c r="F195" s="7">
        <v>22</v>
      </c>
    </row>
    <row r="196" ht="15" customHeight="1" spans="1:6">
      <c r="A196" s="5" t="s">
        <v>309</v>
      </c>
      <c r="B196" s="6" t="s">
        <v>134</v>
      </c>
      <c r="C196" s="6" t="s">
        <v>85</v>
      </c>
      <c r="D196" s="6" t="s">
        <v>283</v>
      </c>
      <c r="E196" s="6" t="s">
        <v>284</v>
      </c>
      <c r="F196" s="7">
        <v>23</v>
      </c>
    </row>
    <row r="197" ht="15" customHeight="1" spans="1:6">
      <c r="A197" s="5" t="s">
        <v>310</v>
      </c>
      <c r="B197" s="6" t="s">
        <v>115</v>
      </c>
      <c r="C197" s="6" t="s">
        <v>85</v>
      </c>
      <c r="D197" s="6" t="s">
        <v>283</v>
      </c>
      <c r="E197" s="6" t="s">
        <v>311</v>
      </c>
      <c r="F197" s="7">
        <v>1</v>
      </c>
    </row>
    <row r="198" ht="15" customHeight="1" spans="1:6">
      <c r="A198" s="5" t="s">
        <v>312</v>
      </c>
      <c r="B198" s="6" t="s">
        <v>93</v>
      </c>
      <c r="C198" s="6" t="s">
        <v>85</v>
      </c>
      <c r="D198" s="6" t="s">
        <v>283</v>
      </c>
      <c r="E198" s="6" t="s">
        <v>311</v>
      </c>
      <c r="F198" s="7">
        <v>2</v>
      </c>
    </row>
    <row r="199" ht="15" customHeight="1" spans="1:6">
      <c r="A199" s="5" t="s">
        <v>313</v>
      </c>
      <c r="B199" s="6" t="s">
        <v>130</v>
      </c>
      <c r="C199" s="6" t="s">
        <v>85</v>
      </c>
      <c r="D199" s="6" t="s">
        <v>283</v>
      </c>
      <c r="E199" s="6" t="s">
        <v>311</v>
      </c>
      <c r="F199" s="7">
        <v>3</v>
      </c>
    </row>
    <row r="200" ht="15" customHeight="1" spans="1:6">
      <c r="A200" s="5" t="s">
        <v>314</v>
      </c>
      <c r="B200" s="6" t="s">
        <v>315</v>
      </c>
      <c r="C200" s="6" t="s">
        <v>85</v>
      </c>
      <c r="D200" s="6" t="s">
        <v>283</v>
      </c>
      <c r="E200" s="6" t="s">
        <v>311</v>
      </c>
      <c r="F200" s="7">
        <v>4</v>
      </c>
    </row>
    <row r="201" ht="15" customHeight="1" spans="1:6">
      <c r="A201" s="5" t="s">
        <v>316</v>
      </c>
      <c r="B201" s="6" t="s">
        <v>243</v>
      </c>
      <c r="C201" s="6" t="s">
        <v>85</v>
      </c>
      <c r="D201" s="6" t="s">
        <v>283</v>
      </c>
      <c r="E201" s="6" t="s">
        <v>311</v>
      </c>
      <c r="F201" s="7">
        <v>5</v>
      </c>
    </row>
    <row r="202" ht="15" customHeight="1" spans="1:6">
      <c r="A202" s="5" t="s">
        <v>317</v>
      </c>
      <c r="B202" s="6" t="s">
        <v>89</v>
      </c>
      <c r="C202" s="6" t="s">
        <v>85</v>
      </c>
      <c r="D202" s="6" t="s">
        <v>283</v>
      </c>
      <c r="E202" s="6" t="s">
        <v>311</v>
      </c>
      <c r="F202" s="7">
        <v>6</v>
      </c>
    </row>
    <row r="203" ht="15" customHeight="1" spans="1:6">
      <c r="A203" s="5" t="s">
        <v>318</v>
      </c>
      <c r="B203" s="6" t="s">
        <v>263</v>
      </c>
      <c r="C203" s="6" t="s">
        <v>85</v>
      </c>
      <c r="D203" s="6" t="s">
        <v>283</v>
      </c>
      <c r="E203" s="6" t="s">
        <v>311</v>
      </c>
      <c r="F203" s="7">
        <v>7</v>
      </c>
    </row>
    <row r="204" ht="15" customHeight="1" spans="1:6">
      <c r="A204" s="5" t="s">
        <v>319</v>
      </c>
      <c r="B204" s="6" t="s">
        <v>93</v>
      </c>
      <c r="C204" s="6" t="s">
        <v>85</v>
      </c>
      <c r="D204" s="6" t="s">
        <v>283</v>
      </c>
      <c r="E204" s="6" t="s">
        <v>311</v>
      </c>
      <c r="F204" s="7">
        <v>8</v>
      </c>
    </row>
    <row r="205" ht="15" customHeight="1" spans="1:6">
      <c r="A205" s="5" t="s">
        <v>320</v>
      </c>
      <c r="B205" s="6" t="s">
        <v>138</v>
      </c>
      <c r="C205" s="6" t="s">
        <v>85</v>
      </c>
      <c r="D205" s="6" t="s">
        <v>283</v>
      </c>
      <c r="E205" s="6" t="s">
        <v>311</v>
      </c>
      <c r="F205" s="7">
        <v>9</v>
      </c>
    </row>
    <row r="206" ht="15" customHeight="1" spans="1:6">
      <c r="A206" s="5" t="s">
        <v>321</v>
      </c>
      <c r="B206" s="6" t="s">
        <v>124</v>
      </c>
      <c r="C206" s="6" t="s">
        <v>85</v>
      </c>
      <c r="D206" s="6" t="s">
        <v>283</v>
      </c>
      <c r="E206" s="6" t="s">
        <v>311</v>
      </c>
      <c r="F206" s="7">
        <v>10</v>
      </c>
    </row>
    <row r="207" ht="15" customHeight="1" spans="1:6">
      <c r="A207" s="5" t="s">
        <v>322</v>
      </c>
      <c r="B207" s="6" t="s">
        <v>117</v>
      </c>
      <c r="C207" s="6" t="s">
        <v>85</v>
      </c>
      <c r="D207" s="6" t="s">
        <v>283</v>
      </c>
      <c r="E207" s="6" t="s">
        <v>311</v>
      </c>
      <c r="F207" s="7">
        <v>11</v>
      </c>
    </row>
    <row r="208" ht="15" customHeight="1" spans="1:6">
      <c r="A208" s="5" t="s">
        <v>323</v>
      </c>
      <c r="B208" s="6" t="s">
        <v>304</v>
      </c>
      <c r="C208" s="6" t="s">
        <v>85</v>
      </c>
      <c r="D208" s="6" t="s">
        <v>283</v>
      </c>
      <c r="E208" s="6" t="s">
        <v>311</v>
      </c>
      <c r="F208" s="7">
        <v>12</v>
      </c>
    </row>
    <row r="209" ht="15" customHeight="1" spans="1:6">
      <c r="A209" s="5" t="s">
        <v>324</v>
      </c>
      <c r="B209" s="6" t="s">
        <v>131</v>
      </c>
      <c r="C209" s="6" t="s">
        <v>85</v>
      </c>
      <c r="D209" s="6" t="s">
        <v>283</v>
      </c>
      <c r="E209" s="6" t="s">
        <v>311</v>
      </c>
      <c r="F209" s="7">
        <v>13</v>
      </c>
    </row>
    <row r="210" ht="15" customHeight="1" spans="1:6">
      <c r="A210" s="5" t="s">
        <v>325</v>
      </c>
      <c r="B210" s="6" t="s">
        <v>111</v>
      </c>
      <c r="C210" s="6" t="s">
        <v>85</v>
      </c>
      <c r="D210" s="6" t="s">
        <v>283</v>
      </c>
      <c r="E210" s="6" t="s">
        <v>311</v>
      </c>
      <c r="F210" s="7">
        <v>14</v>
      </c>
    </row>
    <row r="211" ht="15" customHeight="1" spans="1:6">
      <c r="A211" s="5" t="s">
        <v>326</v>
      </c>
      <c r="B211" s="6" t="s">
        <v>138</v>
      </c>
      <c r="C211" s="6" t="s">
        <v>85</v>
      </c>
      <c r="D211" s="6" t="s">
        <v>283</v>
      </c>
      <c r="E211" s="6" t="s">
        <v>311</v>
      </c>
      <c r="F211" s="7">
        <v>15</v>
      </c>
    </row>
    <row r="212" ht="15" customHeight="1" spans="1:6">
      <c r="A212" s="5" t="s">
        <v>327</v>
      </c>
      <c r="B212" s="6" t="s">
        <v>105</v>
      </c>
      <c r="C212" s="6" t="s">
        <v>85</v>
      </c>
      <c r="D212" s="6" t="s">
        <v>283</v>
      </c>
      <c r="E212" s="6" t="s">
        <v>311</v>
      </c>
      <c r="F212" s="7">
        <v>16</v>
      </c>
    </row>
    <row r="213" ht="15" customHeight="1" spans="1:6">
      <c r="A213" s="5" t="s">
        <v>328</v>
      </c>
      <c r="B213" s="6" t="s">
        <v>113</v>
      </c>
      <c r="C213" s="6" t="s">
        <v>85</v>
      </c>
      <c r="D213" s="6" t="s">
        <v>283</v>
      </c>
      <c r="E213" s="6" t="s">
        <v>311</v>
      </c>
      <c r="F213" s="7">
        <v>17</v>
      </c>
    </row>
    <row r="214" ht="15" customHeight="1" spans="1:6">
      <c r="A214" s="5" t="s">
        <v>329</v>
      </c>
      <c r="B214" s="6" t="s">
        <v>101</v>
      </c>
      <c r="C214" s="6" t="s">
        <v>85</v>
      </c>
      <c r="D214" s="6" t="s">
        <v>283</v>
      </c>
      <c r="E214" s="6" t="s">
        <v>311</v>
      </c>
      <c r="F214" s="7">
        <v>18</v>
      </c>
    </row>
    <row r="215" ht="15" customHeight="1" spans="1:6">
      <c r="A215" s="5" t="s">
        <v>330</v>
      </c>
      <c r="B215" s="6" t="s">
        <v>95</v>
      </c>
      <c r="C215" s="6" t="s">
        <v>85</v>
      </c>
      <c r="D215" s="6" t="s">
        <v>283</v>
      </c>
      <c r="E215" s="6" t="s">
        <v>311</v>
      </c>
      <c r="F215" s="7">
        <v>19</v>
      </c>
    </row>
    <row r="216" ht="15" customHeight="1" spans="1:6">
      <c r="A216" s="5" t="s">
        <v>331</v>
      </c>
      <c r="B216" s="6" t="s">
        <v>99</v>
      </c>
      <c r="C216" s="6" t="s">
        <v>85</v>
      </c>
      <c r="D216" s="6" t="s">
        <v>283</v>
      </c>
      <c r="E216" s="6" t="s">
        <v>311</v>
      </c>
      <c r="F216" s="7">
        <v>20</v>
      </c>
    </row>
    <row r="217" ht="15" customHeight="1" spans="1:6">
      <c r="A217" s="5" t="s">
        <v>332</v>
      </c>
      <c r="B217" s="6" t="s">
        <v>107</v>
      </c>
      <c r="C217" s="6" t="s">
        <v>85</v>
      </c>
      <c r="D217" s="6" t="s">
        <v>283</v>
      </c>
      <c r="E217" s="6" t="s">
        <v>311</v>
      </c>
      <c r="F217" s="7">
        <v>21</v>
      </c>
    </row>
    <row r="218" ht="15" customHeight="1" spans="1:6">
      <c r="A218" s="5" t="s">
        <v>333</v>
      </c>
      <c r="B218" s="6" t="s">
        <v>140</v>
      </c>
      <c r="C218" s="6" t="s">
        <v>85</v>
      </c>
      <c r="D218" s="6" t="s">
        <v>283</v>
      </c>
      <c r="E218" s="6" t="s">
        <v>311</v>
      </c>
      <c r="F218" s="7">
        <v>22</v>
      </c>
    </row>
    <row r="219" ht="15" customHeight="1" spans="1:6">
      <c r="A219" s="5" t="s">
        <v>334</v>
      </c>
      <c r="B219" s="6" t="s">
        <v>138</v>
      </c>
      <c r="C219" s="6" t="s">
        <v>85</v>
      </c>
      <c r="D219" s="6" t="s">
        <v>283</v>
      </c>
      <c r="E219" s="6" t="s">
        <v>335</v>
      </c>
      <c r="F219" s="7">
        <v>1</v>
      </c>
    </row>
    <row r="220" ht="15" customHeight="1" spans="1:6">
      <c r="A220" s="5" t="s">
        <v>336</v>
      </c>
      <c r="B220" s="6" t="s">
        <v>122</v>
      </c>
      <c r="C220" s="6" t="s">
        <v>85</v>
      </c>
      <c r="D220" s="6" t="s">
        <v>283</v>
      </c>
      <c r="E220" s="6" t="s">
        <v>335</v>
      </c>
      <c r="F220" s="7">
        <v>2</v>
      </c>
    </row>
    <row r="221" ht="15" customHeight="1" spans="1:6">
      <c r="A221" s="5" t="s">
        <v>337</v>
      </c>
      <c r="B221" s="6" t="s">
        <v>124</v>
      </c>
      <c r="C221" s="6" t="s">
        <v>85</v>
      </c>
      <c r="D221" s="6" t="s">
        <v>283</v>
      </c>
      <c r="E221" s="6" t="s">
        <v>335</v>
      </c>
      <c r="F221" s="7">
        <v>3</v>
      </c>
    </row>
    <row r="222" ht="15" customHeight="1" spans="1:6">
      <c r="A222" s="5" t="s">
        <v>338</v>
      </c>
      <c r="B222" s="6" t="s">
        <v>130</v>
      </c>
      <c r="C222" s="6" t="s">
        <v>85</v>
      </c>
      <c r="D222" s="6" t="s">
        <v>283</v>
      </c>
      <c r="E222" s="6" t="s">
        <v>335</v>
      </c>
      <c r="F222" s="7">
        <v>4</v>
      </c>
    </row>
    <row r="223" ht="15" customHeight="1" spans="1:6">
      <c r="A223" s="5" t="s">
        <v>339</v>
      </c>
      <c r="B223" s="6" t="s">
        <v>340</v>
      </c>
      <c r="C223" s="6" t="s">
        <v>85</v>
      </c>
      <c r="D223" s="6" t="s">
        <v>283</v>
      </c>
      <c r="E223" s="6" t="s">
        <v>335</v>
      </c>
      <c r="F223" s="7">
        <v>5</v>
      </c>
    </row>
    <row r="224" ht="15" customHeight="1" spans="1:6">
      <c r="A224" s="5" t="s">
        <v>341</v>
      </c>
      <c r="B224" s="6" t="s">
        <v>119</v>
      </c>
      <c r="C224" s="6" t="s">
        <v>85</v>
      </c>
      <c r="D224" s="6" t="s">
        <v>283</v>
      </c>
      <c r="E224" s="6" t="s">
        <v>335</v>
      </c>
      <c r="F224" s="7">
        <v>6</v>
      </c>
    </row>
    <row r="225" ht="15" customHeight="1" spans="1:6">
      <c r="A225" s="5" t="s">
        <v>342</v>
      </c>
      <c r="B225" s="6" t="s">
        <v>99</v>
      </c>
      <c r="C225" s="6" t="s">
        <v>85</v>
      </c>
      <c r="D225" s="6" t="s">
        <v>283</v>
      </c>
      <c r="E225" s="6" t="s">
        <v>335</v>
      </c>
      <c r="F225" s="7">
        <v>7</v>
      </c>
    </row>
    <row r="226" ht="15" customHeight="1" spans="1:6">
      <c r="A226" s="5" t="s">
        <v>343</v>
      </c>
      <c r="B226" s="6" t="s">
        <v>344</v>
      </c>
      <c r="C226" s="6" t="s">
        <v>85</v>
      </c>
      <c r="D226" s="6" t="s">
        <v>283</v>
      </c>
      <c r="E226" s="6" t="s">
        <v>335</v>
      </c>
      <c r="F226" s="7">
        <v>8</v>
      </c>
    </row>
    <row r="227" ht="15" customHeight="1" spans="1:6">
      <c r="A227" s="5" t="s">
        <v>345</v>
      </c>
      <c r="B227" s="6" t="s">
        <v>111</v>
      </c>
      <c r="C227" s="6" t="s">
        <v>85</v>
      </c>
      <c r="D227" s="6" t="s">
        <v>283</v>
      </c>
      <c r="E227" s="6" t="s">
        <v>335</v>
      </c>
      <c r="F227" s="7">
        <v>9</v>
      </c>
    </row>
    <row r="228" ht="15" customHeight="1" spans="1:6">
      <c r="A228" s="5" t="s">
        <v>346</v>
      </c>
      <c r="B228" s="6" t="s">
        <v>128</v>
      </c>
      <c r="C228" s="6" t="s">
        <v>85</v>
      </c>
      <c r="D228" s="6" t="s">
        <v>283</v>
      </c>
      <c r="E228" s="6" t="s">
        <v>335</v>
      </c>
      <c r="F228" s="7">
        <v>10</v>
      </c>
    </row>
    <row r="229" ht="15" customHeight="1" spans="1:6">
      <c r="A229" s="5" t="s">
        <v>347</v>
      </c>
      <c r="B229" s="6" t="s">
        <v>93</v>
      </c>
      <c r="C229" s="6" t="s">
        <v>85</v>
      </c>
      <c r="D229" s="6" t="s">
        <v>283</v>
      </c>
      <c r="E229" s="6" t="s">
        <v>335</v>
      </c>
      <c r="F229" s="7">
        <v>11</v>
      </c>
    </row>
    <row r="230" ht="15" customHeight="1" spans="1:6">
      <c r="A230" s="5" t="s">
        <v>348</v>
      </c>
      <c r="B230" s="6" t="s">
        <v>349</v>
      </c>
      <c r="C230" s="6" t="s">
        <v>85</v>
      </c>
      <c r="D230" s="6" t="s">
        <v>283</v>
      </c>
      <c r="E230" s="6" t="s">
        <v>335</v>
      </c>
      <c r="F230" s="7">
        <v>12</v>
      </c>
    </row>
    <row r="231" ht="15" customHeight="1" spans="1:6">
      <c r="A231" s="5" t="s">
        <v>350</v>
      </c>
      <c r="B231" s="6" t="s">
        <v>158</v>
      </c>
      <c r="C231" s="6" t="s">
        <v>85</v>
      </c>
      <c r="D231" s="6" t="s">
        <v>283</v>
      </c>
      <c r="E231" s="6" t="s">
        <v>335</v>
      </c>
      <c r="F231" s="7">
        <v>13</v>
      </c>
    </row>
    <row r="232" ht="15" customHeight="1" spans="1:6">
      <c r="A232" s="5" t="s">
        <v>351</v>
      </c>
      <c r="B232" s="6" t="s">
        <v>117</v>
      </c>
      <c r="C232" s="6" t="s">
        <v>85</v>
      </c>
      <c r="D232" s="6" t="s">
        <v>283</v>
      </c>
      <c r="E232" s="6" t="s">
        <v>335</v>
      </c>
      <c r="F232" s="7">
        <v>14</v>
      </c>
    </row>
    <row r="233" ht="15" customHeight="1" spans="1:6">
      <c r="A233" s="5" t="s">
        <v>352</v>
      </c>
      <c r="B233" s="6" t="s">
        <v>105</v>
      </c>
      <c r="C233" s="6" t="s">
        <v>85</v>
      </c>
      <c r="D233" s="6" t="s">
        <v>283</v>
      </c>
      <c r="E233" s="6" t="s">
        <v>335</v>
      </c>
      <c r="F233" s="7">
        <v>15</v>
      </c>
    </row>
    <row r="234" ht="15" customHeight="1" spans="1:6">
      <c r="A234" s="5" t="s">
        <v>353</v>
      </c>
      <c r="B234" s="6" t="s">
        <v>109</v>
      </c>
      <c r="C234" s="6" t="s">
        <v>85</v>
      </c>
      <c r="D234" s="6" t="s">
        <v>283</v>
      </c>
      <c r="E234" s="6" t="s">
        <v>335</v>
      </c>
      <c r="F234" s="7">
        <v>16</v>
      </c>
    </row>
    <row r="235" ht="15" customHeight="1" spans="1:6">
      <c r="A235" s="5" t="s">
        <v>354</v>
      </c>
      <c r="B235" s="6" t="s">
        <v>131</v>
      </c>
      <c r="C235" s="6" t="s">
        <v>85</v>
      </c>
      <c r="D235" s="6" t="s">
        <v>283</v>
      </c>
      <c r="E235" s="6" t="s">
        <v>335</v>
      </c>
      <c r="F235" s="7">
        <v>17</v>
      </c>
    </row>
    <row r="236" ht="15" customHeight="1" spans="1:6">
      <c r="A236" s="5" t="s">
        <v>355</v>
      </c>
      <c r="B236" s="6" t="s">
        <v>89</v>
      </c>
      <c r="C236" s="6" t="s">
        <v>85</v>
      </c>
      <c r="D236" s="6" t="s">
        <v>283</v>
      </c>
      <c r="E236" s="6" t="s">
        <v>335</v>
      </c>
      <c r="F236" s="7">
        <v>18</v>
      </c>
    </row>
    <row r="237" ht="15" customHeight="1" spans="1:6">
      <c r="A237" s="5" t="s">
        <v>356</v>
      </c>
      <c r="B237" s="6" t="s">
        <v>181</v>
      </c>
      <c r="C237" s="6" t="s">
        <v>85</v>
      </c>
      <c r="D237" s="6" t="s">
        <v>283</v>
      </c>
      <c r="E237" s="6" t="s">
        <v>335</v>
      </c>
      <c r="F237" s="7">
        <v>19</v>
      </c>
    </row>
    <row r="238" ht="15" customHeight="1" spans="1:6">
      <c r="A238" s="5" t="s">
        <v>357</v>
      </c>
      <c r="B238" s="6" t="s">
        <v>113</v>
      </c>
      <c r="C238" s="6" t="s">
        <v>85</v>
      </c>
      <c r="D238" s="6" t="s">
        <v>283</v>
      </c>
      <c r="E238" s="6" t="s">
        <v>335</v>
      </c>
      <c r="F238" s="7">
        <v>20</v>
      </c>
    </row>
    <row r="239" ht="15" customHeight="1" spans="1:6">
      <c r="A239" s="5" t="s">
        <v>358</v>
      </c>
      <c r="B239" s="6" t="s">
        <v>95</v>
      </c>
      <c r="C239" s="6" t="s">
        <v>85</v>
      </c>
      <c r="D239" s="6" t="s">
        <v>283</v>
      </c>
      <c r="E239" s="6" t="s">
        <v>335</v>
      </c>
      <c r="F239" s="7">
        <v>21</v>
      </c>
    </row>
    <row r="240" ht="15" customHeight="1" spans="1:6">
      <c r="A240" s="5" t="s">
        <v>359</v>
      </c>
      <c r="B240" s="6" t="s">
        <v>304</v>
      </c>
      <c r="C240" s="6" t="s">
        <v>85</v>
      </c>
      <c r="D240" s="6" t="s">
        <v>283</v>
      </c>
      <c r="E240" s="6" t="s">
        <v>335</v>
      </c>
      <c r="F240" s="7">
        <v>22</v>
      </c>
    </row>
    <row r="241" ht="15" customHeight="1" spans="1:6">
      <c r="A241" s="5" t="s">
        <v>360</v>
      </c>
      <c r="B241" s="6" t="s">
        <v>361</v>
      </c>
      <c r="C241" s="6" t="s">
        <v>85</v>
      </c>
      <c r="D241" s="6" t="s">
        <v>283</v>
      </c>
      <c r="E241" s="6" t="s">
        <v>335</v>
      </c>
      <c r="F241" s="7">
        <v>23</v>
      </c>
    </row>
    <row r="242" ht="15" customHeight="1" spans="1:6">
      <c r="A242" s="5" t="s">
        <v>362</v>
      </c>
      <c r="B242" s="6" t="s">
        <v>181</v>
      </c>
      <c r="C242" s="6" t="s">
        <v>85</v>
      </c>
      <c r="D242" s="6" t="s">
        <v>363</v>
      </c>
      <c r="E242" s="6" t="s">
        <v>364</v>
      </c>
      <c r="F242" s="7">
        <v>1</v>
      </c>
    </row>
    <row r="243" ht="15" customHeight="1" spans="1:6">
      <c r="A243" s="5" t="s">
        <v>365</v>
      </c>
      <c r="B243" s="6" t="s">
        <v>107</v>
      </c>
      <c r="C243" s="6" t="s">
        <v>85</v>
      </c>
      <c r="D243" s="6" t="s">
        <v>363</v>
      </c>
      <c r="E243" s="6" t="s">
        <v>364</v>
      </c>
      <c r="F243" s="7">
        <v>2</v>
      </c>
    </row>
    <row r="244" ht="15" customHeight="1" spans="1:6">
      <c r="A244" s="5" t="s">
        <v>366</v>
      </c>
      <c r="B244" s="6" t="s">
        <v>117</v>
      </c>
      <c r="C244" s="6" t="s">
        <v>85</v>
      </c>
      <c r="D244" s="6" t="s">
        <v>363</v>
      </c>
      <c r="E244" s="6" t="s">
        <v>364</v>
      </c>
      <c r="F244" s="7">
        <v>3</v>
      </c>
    </row>
    <row r="245" ht="15" customHeight="1" spans="1:6">
      <c r="A245" s="5" t="s">
        <v>367</v>
      </c>
      <c r="B245" s="6" t="s">
        <v>122</v>
      </c>
      <c r="C245" s="6" t="s">
        <v>85</v>
      </c>
      <c r="D245" s="6" t="s">
        <v>363</v>
      </c>
      <c r="E245" s="6" t="s">
        <v>364</v>
      </c>
      <c r="F245" s="7">
        <v>4</v>
      </c>
    </row>
    <row r="246" ht="15" customHeight="1" spans="1:6">
      <c r="A246" s="5" t="s">
        <v>368</v>
      </c>
      <c r="B246" s="6" t="s">
        <v>147</v>
      </c>
      <c r="C246" s="6" t="s">
        <v>85</v>
      </c>
      <c r="D246" s="6" t="s">
        <v>363</v>
      </c>
      <c r="E246" s="6" t="s">
        <v>364</v>
      </c>
      <c r="F246" s="7">
        <v>5</v>
      </c>
    </row>
    <row r="247" ht="15" customHeight="1" spans="1:6">
      <c r="A247" s="5" t="s">
        <v>369</v>
      </c>
      <c r="B247" s="6" t="s">
        <v>128</v>
      </c>
      <c r="C247" s="6" t="s">
        <v>85</v>
      </c>
      <c r="D247" s="6" t="s">
        <v>363</v>
      </c>
      <c r="E247" s="6" t="s">
        <v>364</v>
      </c>
      <c r="F247" s="7">
        <v>6</v>
      </c>
    </row>
    <row r="248" ht="15" customHeight="1" spans="1:6">
      <c r="A248" s="5" t="s">
        <v>370</v>
      </c>
      <c r="B248" s="6" t="s">
        <v>109</v>
      </c>
      <c r="C248" s="6" t="s">
        <v>85</v>
      </c>
      <c r="D248" s="6" t="s">
        <v>363</v>
      </c>
      <c r="E248" s="6" t="s">
        <v>364</v>
      </c>
      <c r="F248" s="7">
        <v>7</v>
      </c>
    </row>
    <row r="249" ht="15" customHeight="1" spans="1:6">
      <c r="A249" s="5" t="s">
        <v>371</v>
      </c>
      <c r="B249" s="6" t="s">
        <v>107</v>
      </c>
      <c r="C249" s="6" t="s">
        <v>85</v>
      </c>
      <c r="D249" s="6" t="s">
        <v>363</v>
      </c>
      <c r="E249" s="6" t="s">
        <v>364</v>
      </c>
      <c r="F249" s="7">
        <v>8</v>
      </c>
    </row>
    <row r="250" ht="15" customHeight="1" spans="1:6">
      <c r="A250" s="5" t="s">
        <v>372</v>
      </c>
      <c r="B250" s="6" t="s">
        <v>131</v>
      </c>
      <c r="C250" s="6" t="s">
        <v>85</v>
      </c>
      <c r="D250" s="6" t="s">
        <v>363</v>
      </c>
      <c r="E250" s="6" t="s">
        <v>364</v>
      </c>
      <c r="F250" s="7">
        <v>9</v>
      </c>
    </row>
    <row r="251" ht="15" customHeight="1" spans="1:6">
      <c r="A251" s="5" t="s">
        <v>373</v>
      </c>
      <c r="B251" s="6" t="s">
        <v>126</v>
      </c>
      <c r="C251" s="6" t="s">
        <v>85</v>
      </c>
      <c r="D251" s="6" t="s">
        <v>363</v>
      </c>
      <c r="E251" s="6" t="s">
        <v>364</v>
      </c>
      <c r="F251" s="7">
        <v>10</v>
      </c>
    </row>
    <row r="252" ht="15" customHeight="1" spans="1:6">
      <c r="A252" s="5" t="s">
        <v>374</v>
      </c>
      <c r="B252" s="6" t="s">
        <v>147</v>
      </c>
      <c r="C252" s="6" t="s">
        <v>85</v>
      </c>
      <c r="D252" s="6" t="s">
        <v>363</v>
      </c>
      <c r="E252" s="6" t="s">
        <v>364</v>
      </c>
      <c r="F252" s="7">
        <v>11</v>
      </c>
    </row>
    <row r="253" ht="15" customHeight="1" spans="1:6">
      <c r="A253" s="5" t="s">
        <v>375</v>
      </c>
      <c r="B253" s="6" t="s">
        <v>113</v>
      </c>
      <c r="C253" s="6" t="s">
        <v>85</v>
      </c>
      <c r="D253" s="6" t="s">
        <v>363</v>
      </c>
      <c r="E253" s="6" t="s">
        <v>364</v>
      </c>
      <c r="F253" s="7">
        <v>12</v>
      </c>
    </row>
    <row r="254" ht="15" customHeight="1" spans="1:6">
      <c r="A254" s="5" t="s">
        <v>376</v>
      </c>
      <c r="B254" s="6" t="s">
        <v>134</v>
      </c>
      <c r="C254" s="6" t="s">
        <v>85</v>
      </c>
      <c r="D254" s="6" t="s">
        <v>363</v>
      </c>
      <c r="E254" s="6" t="s">
        <v>364</v>
      </c>
      <c r="F254" s="7">
        <v>13</v>
      </c>
    </row>
    <row r="255" ht="15" customHeight="1" spans="1:6">
      <c r="A255" s="5" t="s">
        <v>377</v>
      </c>
      <c r="B255" s="6" t="s">
        <v>140</v>
      </c>
      <c r="C255" s="6" t="s">
        <v>85</v>
      </c>
      <c r="D255" s="6" t="s">
        <v>363</v>
      </c>
      <c r="E255" s="6" t="s">
        <v>364</v>
      </c>
      <c r="F255" s="7">
        <v>14</v>
      </c>
    </row>
    <row r="256" ht="15" customHeight="1" spans="1:6">
      <c r="A256" s="5" t="s">
        <v>378</v>
      </c>
      <c r="B256" s="6" t="s">
        <v>134</v>
      </c>
      <c r="C256" s="6" t="s">
        <v>85</v>
      </c>
      <c r="D256" s="6" t="s">
        <v>363</v>
      </c>
      <c r="E256" s="6" t="s">
        <v>364</v>
      </c>
      <c r="F256" s="7">
        <v>15</v>
      </c>
    </row>
    <row r="257" ht="15" customHeight="1" spans="1:6">
      <c r="A257" s="5" t="s">
        <v>379</v>
      </c>
      <c r="B257" s="6" t="s">
        <v>132</v>
      </c>
      <c r="C257" s="6" t="s">
        <v>85</v>
      </c>
      <c r="D257" s="6" t="s">
        <v>363</v>
      </c>
      <c r="E257" s="6" t="s">
        <v>364</v>
      </c>
      <c r="F257" s="7">
        <v>16</v>
      </c>
    </row>
    <row r="258" ht="15" customHeight="1" spans="1:6">
      <c r="A258" s="5" t="s">
        <v>380</v>
      </c>
      <c r="B258" s="6" t="s">
        <v>181</v>
      </c>
      <c r="C258" s="6" t="s">
        <v>85</v>
      </c>
      <c r="D258" s="6" t="s">
        <v>363</v>
      </c>
      <c r="E258" s="6" t="s">
        <v>381</v>
      </c>
      <c r="F258" s="7">
        <v>1</v>
      </c>
    </row>
    <row r="259" ht="15" customHeight="1" spans="1:6">
      <c r="A259" s="5" t="s">
        <v>382</v>
      </c>
      <c r="B259" s="6" t="s">
        <v>109</v>
      </c>
      <c r="C259" s="6" t="s">
        <v>85</v>
      </c>
      <c r="D259" s="6" t="s">
        <v>363</v>
      </c>
      <c r="E259" s="6" t="s">
        <v>381</v>
      </c>
      <c r="F259" s="7">
        <v>2</v>
      </c>
    </row>
    <row r="260" ht="15" customHeight="1" spans="1:6">
      <c r="A260" s="5" t="s">
        <v>383</v>
      </c>
      <c r="B260" s="6" t="s">
        <v>122</v>
      </c>
      <c r="C260" s="6" t="s">
        <v>85</v>
      </c>
      <c r="D260" s="6" t="s">
        <v>363</v>
      </c>
      <c r="E260" s="6" t="s">
        <v>381</v>
      </c>
      <c r="F260" s="7">
        <v>3</v>
      </c>
    </row>
    <row r="261" ht="15" customHeight="1" spans="1:6">
      <c r="A261" s="5" t="s">
        <v>384</v>
      </c>
      <c r="B261" s="6" t="s">
        <v>91</v>
      </c>
      <c r="C261" s="6" t="s">
        <v>85</v>
      </c>
      <c r="D261" s="6" t="s">
        <v>363</v>
      </c>
      <c r="E261" s="6" t="s">
        <v>381</v>
      </c>
      <c r="F261" s="7">
        <v>4</v>
      </c>
    </row>
    <row r="262" ht="15" customHeight="1" spans="1:6">
      <c r="A262" s="5" t="s">
        <v>385</v>
      </c>
      <c r="B262" s="6" t="s">
        <v>147</v>
      </c>
      <c r="C262" s="6" t="s">
        <v>85</v>
      </c>
      <c r="D262" s="6" t="s">
        <v>363</v>
      </c>
      <c r="E262" s="6" t="s">
        <v>381</v>
      </c>
      <c r="F262" s="7">
        <v>5</v>
      </c>
    </row>
    <row r="263" ht="15" customHeight="1" spans="1:6">
      <c r="A263" s="5" t="s">
        <v>386</v>
      </c>
      <c r="B263" s="6" t="s">
        <v>97</v>
      </c>
      <c r="C263" s="6" t="s">
        <v>85</v>
      </c>
      <c r="D263" s="6" t="s">
        <v>363</v>
      </c>
      <c r="E263" s="6" t="s">
        <v>381</v>
      </c>
      <c r="F263" s="7">
        <v>6</v>
      </c>
    </row>
    <row r="264" ht="15" customHeight="1" spans="1:6">
      <c r="A264" s="5" t="s">
        <v>387</v>
      </c>
      <c r="B264" s="6" t="s">
        <v>93</v>
      </c>
      <c r="C264" s="6" t="s">
        <v>85</v>
      </c>
      <c r="D264" s="6" t="s">
        <v>363</v>
      </c>
      <c r="E264" s="6" t="s">
        <v>381</v>
      </c>
      <c r="F264" s="7">
        <v>7</v>
      </c>
    </row>
    <row r="265" ht="15" customHeight="1" spans="1:6">
      <c r="A265" s="5" t="s">
        <v>388</v>
      </c>
      <c r="B265" s="6" t="s">
        <v>117</v>
      </c>
      <c r="C265" s="6" t="s">
        <v>85</v>
      </c>
      <c r="D265" s="6" t="s">
        <v>363</v>
      </c>
      <c r="E265" s="6" t="s">
        <v>381</v>
      </c>
      <c r="F265" s="7">
        <v>8</v>
      </c>
    </row>
    <row r="266" ht="15" customHeight="1" spans="1:6">
      <c r="A266" s="5" t="s">
        <v>389</v>
      </c>
      <c r="B266" s="6" t="s">
        <v>107</v>
      </c>
      <c r="C266" s="6" t="s">
        <v>85</v>
      </c>
      <c r="D266" s="6" t="s">
        <v>363</v>
      </c>
      <c r="E266" s="6" t="s">
        <v>381</v>
      </c>
      <c r="F266" s="7">
        <v>9</v>
      </c>
    </row>
    <row r="267" ht="15" customHeight="1" spans="1:6">
      <c r="A267" s="5" t="s">
        <v>390</v>
      </c>
      <c r="B267" s="6" t="s">
        <v>147</v>
      </c>
      <c r="C267" s="6" t="s">
        <v>85</v>
      </c>
      <c r="D267" s="6" t="s">
        <v>363</v>
      </c>
      <c r="E267" s="6" t="s">
        <v>381</v>
      </c>
      <c r="F267" s="7">
        <v>10</v>
      </c>
    </row>
    <row r="268" ht="15" customHeight="1" spans="1:6">
      <c r="A268" s="5" t="s">
        <v>391</v>
      </c>
      <c r="B268" s="6" t="s">
        <v>101</v>
      </c>
      <c r="C268" s="6" t="s">
        <v>85</v>
      </c>
      <c r="D268" s="6" t="s">
        <v>363</v>
      </c>
      <c r="E268" s="6" t="s">
        <v>381</v>
      </c>
      <c r="F268" s="7">
        <v>11</v>
      </c>
    </row>
    <row r="269" ht="15" customHeight="1" spans="1:6">
      <c r="A269" s="5" t="s">
        <v>392</v>
      </c>
      <c r="B269" s="6" t="s">
        <v>138</v>
      </c>
      <c r="C269" s="6" t="s">
        <v>85</v>
      </c>
      <c r="D269" s="6" t="s">
        <v>363</v>
      </c>
      <c r="E269" s="6" t="s">
        <v>381</v>
      </c>
      <c r="F269" s="7">
        <v>12</v>
      </c>
    </row>
    <row r="270" ht="15" customHeight="1" spans="1:6">
      <c r="A270" s="5" t="s">
        <v>393</v>
      </c>
      <c r="B270" s="6" t="s">
        <v>134</v>
      </c>
      <c r="C270" s="6" t="s">
        <v>85</v>
      </c>
      <c r="D270" s="6" t="s">
        <v>363</v>
      </c>
      <c r="E270" s="6" t="s">
        <v>381</v>
      </c>
      <c r="F270" s="7">
        <v>13</v>
      </c>
    </row>
    <row r="271" ht="15" customHeight="1" spans="1:6">
      <c r="A271" s="5" t="s">
        <v>394</v>
      </c>
      <c r="B271" s="6" t="s">
        <v>107</v>
      </c>
      <c r="C271" s="6" t="s">
        <v>85</v>
      </c>
      <c r="D271" s="6" t="s">
        <v>363</v>
      </c>
      <c r="E271" s="6" t="s">
        <v>381</v>
      </c>
      <c r="F271" s="7">
        <v>14</v>
      </c>
    </row>
    <row r="272" ht="15" customHeight="1" spans="1:6">
      <c r="A272" s="5" t="s">
        <v>395</v>
      </c>
      <c r="B272" s="6" t="s">
        <v>128</v>
      </c>
      <c r="C272" s="6" t="s">
        <v>85</v>
      </c>
      <c r="D272" s="6" t="s">
        <v>363</v>
      </c>
      <c r="E272" s="6" t="s">
        <v>381</v>
      </c>
      <c r="F272" s="7">
        <v>15</v>
      </c>
    </row>
    <row r="273" ht="15" customHeight="1" spans="1:6">
      <c r="A273" s="5" t="s">
        <v>396</v>
      </c>
      <c r="B273" s="6" t="s">
        <v>132</v>
      </c>
      <c r="C273" s="6" t="s">
        <v>85</v>
      </c>
      <c r="D273" s="6" t="s">
        <v>363</v>
      </c>
      <c r="E273" s="6" t="s">
        <v>397</v>
      </c>
      <c r="F273" s="7">
        <v>1</v>
      </c>
    </row>
    <row r="274" ht="15" customHeight="1" spans="1:6">
      <c r="A274" s="5" t="s">
        <v>398</v>
      </c>
      <c r="B274" s="6" t="s">
        <v>181</v>
      </c>
      <c r="C274" s="6" t="s">
        <v>85</v>
      </c>
      <c r="D274" s="6" t="s">
        <v>363</v>
      </c>
      <c r="E274" s="6" t="s">
        <v>397</v>
      </c>
      <c r="F274" s="7">
        <v>2</v>
      </c>
    </row>
    <row r="275" ht="15" customHeight="1" spans="1:6">
      <c r="A275" s="5" t="s">
        <v>399</v>
      </c>
      <c r="B275" s="6" t="s">
        <v>107</v>
      </c>
      <c r="C275" s="6" t="s">
        <v>85</v>
      </c>
      <c r="D275" s="6" t="s">
        <v>363</v>
      </c>
      <c r="E275" s="6" t="s">
        <v>397</v>
      </c>
      <c r="F275" s="7">
        <v>3</v>
      </c>
    </row>
    <row r="276" ht="15" customHeight="1" spans="1:6">
      <c r="A276" s="5" t="s">
        <v>400</v>
      </c>
      <c r="B276" s="6" t="s">
        <v>107</v>
      </c>
      <c r="C276" s="6" t="s">
        <v>85</v>
      </c>
      <c r="D276" s="6" t="s">
        <v>363</v>
      </c>
      <c r="E276" s="6" t="s">
        <v>397</v>
      </c>
      <c r="F276" s="7">
        <v>4</v>
      </c>
    </row>
    <row r="277" ht="15" customHeight="1" spans="1:6">
      <c r="A277" s="5" t="s">
        <v>401</v>
      </c>
      <c r="B277" s="6" t="s">
        <v>109</v>
      </c>
      <c r="C277" s="6" t="s">
        <v>85</v>
      </c>
      <c r="D277" s="6" t="s">
        <v>363</v>
      </c>
      <c r="E277" s="6" t="s">
        <v>397</v>
      </c>
      <c r="F277" s="7">
        <v>5</v>
      </c>
    </row>
    <row r="278" ht="15" customHeight="1" spans="1:6">
      <c r="A278" s="5" t="s">
        <v>402</v>
      </c>
      <c r="B278" s="6" t="s">
        <v>89</v>
      </c>
      <c r="C278" s="6" t="s">
        <v>85</v>
      </c>
      <c r="D278" s="6" t="s">
        <v>363</v>
      </c>
      <c r="E278" s="6" t="s">
        <v>397</v>
      </c>
      <c r="F278" s="7">
        <v>6</v>
      </c>
    </row>
    <row r="279" ht="15" customHeight="1" spans="1:6">
      <c r="A279" s="5" t="s">
        <v>403</v>
      </c>
      <c r="B279" s="6" t="s">
        <v>140</v>
      </c>
      <c r="C279" s="6" t="s">
        <v>85</v>
      </c>
      <c r="D279" s="6" t="s">
        <v>363</v>
      </c>
      <c r="E279" s="6" t="s">
        <v>397</v>
      </c>
      <c r="F279" s="7">
        <v>7</v>
      </c>
    </row>
    <row r="280" ht="15" customHeight="1" spans="1:6">
      <c r="A280" s="5" t="s">
        <v>404</v>
      </c>
      <c r="B280" s="6" t="s">
        <v>405</v>
      </c>
      <c r="C280" s="6" t="s">
        <v>85</v>
      </c>
      <c r="D280" s="6" t="s">
        <v>363</v>
      </c>
      <c r="E280" s="6" t="s">
        <v>397</v>
      </c>
      <c r="F280" s="7">
        <v>8</v>
      </c>
    </row>
    <row r="281" ht="15" customHeight="1" spans="1:6">
      <c r="A281" s="5" t="s">
        <v>406</v>
      </c>
      <c r="B281" s="6" t="s">
        <v>113</v>
      </c>
      <c r="C281" s="6" t="s">
        <v>85</v>
      </c>
      <c r="D281" s="6" t="s">
        <v>363</v>
      </c>
      <c r="E281" s="6" t="s">
        <v>397</v>
      </c>
      <c r="F281" s="7">
        <v>9</v>
      </c>
    </row>
    <row r="282" ht="15" customHeight="1" spans="1:6">
      <c r="A282" s="5" t="s">
        <v>407</v>
      </c>
      <c r="B282" s="6" t="s">
        <v>117</v>
      </c>
      <c r="C282" s="6" t="s">
        <v>85</v>
      </c>
      <c r="D282" s="6" t="s">
        <v>363</v>
      </c>
      <c r="E282" s="6" t="s">
        <v>397</v>
      </c>
      <c r="F282" s="7">
        <v>10</v>
      </c>
    </row>
    <row r="283" ht="15" customHeight="1" spans="1:6">
      <c r="A283" s="5" t="s">
        <v>408</v>
      </c>
      <c r="B283" s="6" t="s">
        <v>147</v>
      </c>
      <c r="C283" s="6" t="s">
        <v>85</v>
      </c>
      <c r="D283" s="6" t="s">
        <v>363</v>
      </c>
      <c r="E283" s="6" t="s">
        <v>397</v>
      </c>
      <c r="F283" s="7">
        <v>11</v>
      </c>
    </row>
    <row r="284" ht="15" customHeight="1" spans="1:6">
      <c r="A284" s="5" t="s">
        <v>409</v>
      </c>
      <c r="B284" s="6" t="s">
        <v>122</v>
      </c>
      <c r="C284" s="6" t="s">
        <v>85</v>
      </c>
      <c r="D284" s="6" t="s">
        <v>363</v>
      </c>
      <c r="E284" s="6" t="s">
        <v>397</v>
      </c>
      <c r="F284" s="7">
        <v>12</v>
      </c>
    </row>
    <row r="285" ht="15" customHeight="1" spans="1:6">
      <c r="A285" s="5" t="s">
        <v>410</v>
      </c>
      <c r="B285" s="6" t="s">
        <v>128</v>
      </c>
      <c r="C285" s="6" t="s">
        <v>85</v>
      </c>
      <c r="D285" s="6" t="s">
        <v>363</v>
      </c>
      <c r="E285" s="6" t="s">
        <v>397</v>
      </c>
      <c r="F285" s="7">
        <v>13</v>
      </c>
    </row>
    <row r="286" ht="15" customHeight="1" spans="1:6">
      <c r="A286" s="5" t="s">
        <v>411</v>
      </c>
      <c r="B286" s="6" t="s">
        <v>147</v>
      </c>
      <c r="C286" s="6" t="s">
        <v>85</v>
      </c>
      <c r="D286" s="6" t="s">
        <v>363</v>
      </c>
      <c r="E286" s="6" t="s">
        <v>397</v>
      </c>
      <c r="F286" s="7">
        <v>14</v>
      </c>
    </row>
    <row r="287" ht="15" customHeight="1" spans="1:6">
      <c r="A287" s="5" t="s">
        <v>412</v>
      </c>
      <c r="B287" s="6" t="s">
        <v>134</v>
      </c>
      <c r="C287" s="6" t="s">
        <v>85</v>
      </c>
      <c r="D287" s="6" t="s">
        <v>363</v>
      </c>
      <c r="E287" s="6" t="s">
        <v>397</v>
      </c>
      <c r="F287" s="7">
        <v>15</v>
      </c>
    </row>
    <row r="288" ht="15" customHeight="1" spans="1:6">
      <c r="A288" s="5" t="s">
        <v>413</v>
      </c>
      <c r="B288" s="6" t="s">
        <v>134</v>
      </c>
      <c r="C288" s="6" t="s">
        <v>85</v>
      </c>
      <c r="D288" s="6" t="s">
        <v>363</v>
      </c>
      <c r="E288" s="6" t="s">
        <v>397</v>
      </c>
      <c r="F288" s="7">
        <v>16</v>
      </c>
    </row>
    <row r="289" ht="15" customHeight="1" spans="1:6">
      <c r="A289" s="5" t="s">
        <v>414</v>
      </c>
      <c r="B289" s="6" t="s">
        <v>131</v>
      </c>
      <c r="C289" s="6" t="s">
        <v>85</v>
      </c>
      <c r="D289" s="6" t="s">
        <v>415</v>
      </c>
      <c r="E289" s="6" t="s">
        <v>416</v>
      </c>
      <c r="F289" s="7">
        <v>1</v>
      </c>
    </row>
    <row r="290" ht="15" customHeight="1" spans="1:6">
      <c r="A290" s="5" t="s">
        <v>417</v>
      </c>
      <c r="B290" s="6" t="s">
        <v>105</v>
      </c>
      <c r="C290" s="6" t="s">
        <v>85</v>
      </c>
      <c r="D290" s="6" t="s">
        <v>415</v>
      </c>
      <c r="E290" s="6" t="s">
        <v>416</v>
      </c>
      <c r="F290" s="7">
        <v>2</v>
      </c>
    </row>
    <row r="291" ht="15" customHeight="1" spans="1:6">
      <c r="A291" s="5" t="s">
        <v>418</v>
      </c>
      <c r="B291" s="6" t="s">
        <v>181</v>
      </c>
      <c r="C291" s="6" t="s">
        <v>85</v>
      </c>
      <c r="D291" s="6" t="s">
        <v>415</v>
      </c>
      <c r="E291" s="6" t="s">
        <v>416</v>
      </c>
      <c r="F291" s="7">
        <v>3</v>
      </c>
    </row>
    <row r="292" ht="15" customHeight="1" spans="1:6">
      <c r="A292" s="5" t="s">
        <v>419</v>
      </c>
      <c r="B292" s="6" t="s">
        <v>117</v>
      </c>
      <c r="C292" s="6" t="s">
        <v>85</v>
      </c>
      <c r="D292" s="6" t="s">
        <v>415</v>
      </c>
      <c r="E292" s="6" t="s">
        <v>416</v>
      </c>
      <c r="F292" s="7">
        <v>4</v>
      </c>
    </row>
    <row r="293" ht="15" customHeight="1" spans="1:6">
      <c r="A293" s="5" t="s">
        <v>420</v>
      </c>
      <c r="B293" s="6" t="s">
        <v>405</v>
      </c>
      <c r="C293" s="6" t="s">
        <v>85</v>
      </c>
      <c r="D293" s="6" t="s">
        <v>415</v>
      </c>
      <c r="E293" s="6" t="s">
        <v>416</v>
      </c>
      <c r="F293" s="7">
        <v>5</v>
      </c>
    </row>
    <row r="294" ht="15" customHeight="1" spans="1:6">
      <c r="A294" s="5" t="s">
        <v>421</v>
      </c>
      <c r="B294" s="6" t="s">
        <v>115</v>
      </c>
      <c r="C294" s="6" t="s">
        <v>85</v>
      </c>
      <c r="D294" s="6" t="s">
        <v>415</v>
      </c>
      <c r="E294" s="6" t="s">
        <v>416</v>
      </c>
      <c r="F294" s="7">
        <v>6</v>
      </c>
    </row>
    <row r="295" ht="15" customHeight="1" spans="1:6">
      <c r="A295" s="5" t="s">
        <v>422</v>
      </c>
      <c r="B295" s="6" t="s">
        <v>107</v>
      </c>
      <c r="C295" s="6" t="s">
        <v>85</v>
      </c>
      <c r="D295" s="6" t="s">
        <v>415</v>
      </c>
      <c r="E295" s="6" t="s">
        <v>416</v>
      </c>
      <c r="F295" s="7">
        <v>7</v>
      </c>
    </row>
    <row r="296" ht="15" customHeight="1" spans="1:6">
      <c r="A296" s="5" t="s">
        <v>423</v>
      </c>
      <c r="B296" s="6" t="s">
        <v>89</v>
      </c>
      <c r="C296" s="6" t="s">
        <v>85</v>
      </c>
      <c r="D296" s="6" t="s">
        <v>415</v>
      </c>
      <c r="E296" s="6" t="s">
        <v>416</v>
      </c>
      <c r="F296" s="7">
        <v>8</v>
      </c>
    </row>
    <row r="297" ht="15" customHeight="1" spans="1:6">
      <c r="A297" s="5" t="s">
        <v>424</v>
      </c>
      <c r="B297" s="6" t="s">
        <v>107</v>
      </c>
      <c r="C297" s="6" t="s">
        <v>85</v>
      </c>
      <c r="D297" s="6" t="s">
        <v>415</v>
      </c>
      <c r="E297" s="6" t="s">
        <v>416</v>
      </c>
      <c r="F297" s="7">
        <v>9</v>
      </c>
    </row>
    <row r="298" ht="15" customHeight="1" spans="1:6">
      <c r="A298" s="5" t="s">
        <v>425</v>
      </c>
      <c r="B298" s="6" t="s">
        <v>95</v>
      </c>
      <c r="C298" s="6" t="s">
        <v>85</v>
      </c>
      <c r="D298" s="6" t="s">
        <v>415</v>
      </c>
      <c r="E298" s="6" t="s">
        <v>416</v>
      </c>
      <c r="F298" s="7">
        <v>10</v>
      </c>
    </row>
    <row r="299" ht="15" customHeight="1" spans="1:6">
      <c r="A299" s="5" t="s">
        <v>426</v>
      </c>
      <c r="B299" s="6" t="s">
        <v>128</v>
      </c>
      <c r="C299" s="6" t="s">
        <v>85</v>
      </c>
      <c r="D299" s="6" t="s">
        <v>415</v>
      </c>
      <c r="E299" s="6" t="s">
        <v>416</v>
      </c>
      <c r="F299" s="7">
        <v>11</v>
      </c>
    </row>
    <row r="300" ht="15" customHeight="1" spans="1:6">
      <c r="A300" s="5" t="s">
        <v>427</v>
      </c>
      <c r="B300" s="6" t="s">
        <v>147</v>
      </c>
      <c r="C300" s="6" t="s">
        <v>85</v>
      </c>
      <c r="D300" s="6" t="s">
        <v>415</v>
      </c>
      <c r="E300" s="6" t="s">
        <v>416</v>
      </c>
      <c r="F300" s="7">
        <v>12</v>
      </c>
    </row>
    <row r="301" ht="15" customHeight="1" spans="1:6">
      <c r="A301" s="5" t="s">
        <v>428</v>
      </c>
      <c r="B301" s="6" t="s">
        <v>181</v>
      </c>
      <c r="C301" s="6" t="s">
        <v>85</v>
      </c>
      <c r="D301" s="6" t="s">
        <v>415</v>
      </c>
      <c r="E301" s="6" t="s">
        <v>429</v>
      </c>
      <c r="F301" s="7">
        <v>1</v>
      </c>
    </row>
    <row r="302" ht="15" customHeight="1" spans="1:6">
      <c r="A302" s="5" t="s">
        <v>430</v>
      </c>
      <c r="B302" s="6" t="s">
        <v>132</v>
      </c>
      <c r="C302" s="6" t="s">
        <v>85</v>
      </c>
      <c r="D302" s="6" t="s">
        <v>415</v>
      </c>
      <c r="E302" s="6" t="s">
        <v>429</v>
      </c>
      <c r="F302" s="7">
        <v>2</v>
      </c>
    </row>
    <row r="303" ht="15" customHeight="1" spans="1:6">
      <c r="A303" s="5" t="s">
        <v>431</v>
      </c>
      <c r="B303" s="6" t="s">
        <v>131</v>
      </c>
      <c r="C303" s="6" t="s">
        <v>85</v>
      </c>
      <c r="D303" s="6" t="s">
        <v>415</v>
      </c>
      <c r="E303" s="6" t="s">
        <v>429</v>
      </c>
      <c r="F303" s="7">
        <v>3</v>
      </c>
    </row>
    <row r="304" ht="15" customHeight="1" spans="1:6">
      <c r="A304" s="5" t="s">
        <v>432</v>
      </c>
      <c r="B304" s="6" t="s">
        <v>107</v>
      </c>
      <c r="C304" s="6" t="s">
        <v>85</v>
      </c>
      <c r="D304" s="6" t="s">
        <v>415</v>
      </c>
      <c r="E304" s="6" t="s">
        <v>429</v>
      </c>
      <c r="F304" s="7">
        <v>4</v>
      </c>
    </row>
    <row r="305" ht="15" customHeight="1" spans="1:6">
      <c r="A305" s="5" t="s">
        <v>433</v>
      </c>
      <c r="B305" s="6" t="s">
        <v>147</v>
      </c>
      <c r="C305" s="6" t="s">
        <v>85</v>
      </c>
      <c r="D305" s="6" t="s">
        <v>415</v>
      </c>
      <c r="E305" s="6" t="s">
        <v>429</v>
      </c>
      <c r="F305" s="7">
        <v>5</v>
      </c>
    </row>
    <row r="306" ht="15" customHeight="1" spans="1:6">
      <c r="A306" s="5" t="s">
        <v>434</v>
      </c>
      <c r="B306" s="6" t="s">
        <v>134</v>
      </c>
      <c r="C306" s="6" t="s">
        <v>85</v>
      </c>
      <c r="D306" s="6" t="s">
        <v>415</v>
      </c>
      <c r="E306" s="6" t="s">
        <v>429</v>
      </c>
      <c r="F306" s="7">
        <v>6</v>
      </c>
    </row>
    <row r="307" ht="15" customHeight="1" spans="1:6">
      <c r="A307" s="5" t="s">
        <v>435</v>
      </c>
      <c r="B307" s="6" t="s">
        <v>122</v>
      </c>
      <c r="C307" s="6" t="s">
        <v>85</v>
      </c>
      <c r="D307" s="6" t="s">
        <v>415</v>
      </c>
      <c r="E307" s="6" t="s">
        <v>429</v>
      </c>
      <c r="F307" s="7">
        <v>7</v>
      </c>
    </row>
    <row r="308" ht="15" customHeight="1" spans="1:6">
      <c r="A308" s="5" t="s">
        <v>436</v>
      </c>
      <c r="B308" s="6" t="s">
        <v>128</v>
      </c>
      <c r="C308" s="6" t="s">
        <v>85</v>
      </c>
      <c r="D308" s="6" t="s">
        <v>415</v>
      </c>
      <c r="E308" s="6" t="s">
        <v>429</v>
      </c>
      <c r="F308" s="7">
        <v>8</v>
      </c>
    </row>
    <row r="309" ht="15" customHeight="1" spans="1:6">
      <c r="A309" s="5" t="s">
        <v>437</v>
      </c>
      <c r="B309" s="6" t="s">
        <v>147</v>
      </c>
      <c r="C309" s="6" t="s">
        <v>85</v>
      </c>
      <c r="D309" s="6" t="s">
        <v>415</v>
      </c>
      <c r="E309" s="6" t="s">
        <v>429</v>
      </c>
      <c r="F309" s="7">
        <v>9</v>
      </c>
    </row>
    <row r="310" ht="15" customHeight="1" spans="1:6">
      <c r="A310" s="5" t="s">
        <v>438</v>
      </c>
      <c r="B310" s="6" t="s">
        <v>140</v>
      </c>
      <c r="C310" s="6" t="s">
        <v>85</v>
      </c>
      <c r="D310" s="6" t="s">
        <v>415</v>
      </c>
      <c r="E310" s="6" t="s">
        <v>429</v>
      </c>
      <c r="F310" s="7">
        <v>10</v>
      </c>
    </row>
    <row r="311" ht="15" customHeight="1" spans="1:6">
      <c r="A311" s="5" t="s">
        <v>439</v>
      </c>
      <c r="B311" s="6" t="s">
        <v>97</v>
      </c>
      <c r="C311" s="6" t="s">
        <v>85</v>
      </c>
      <c r="D311" s="6" t="s">
        <v>415</v>
      </c>
      <c r="E311" s="6" t="s">
        <v>429</v>
      </c>
      <c r="F311" s="7">
        <v>11</v>
      </c>
    </row>
    <row r="312" ht="15" customHeight="1" spans="1:6">
      <c r="A312" s="5" t="s">
        <v>440</v>
      </c>
      <c r="B312" s="6" t="s">
        <v>315</v>
      </c>
      <c r="C312" s="6" t="s">
        <v>85</v>
      </c>
      <c r="D312" s="6" t="s">
        <v>415</v>
      </c>
      <c r="E312" s="6" t="s">
        <v>429</v>
      </c>
      <c r="F312" s="7">
        <v>12</v>
      </c>
    </row>
    <row r="313" ht="15" customHeight="1" spans="1:6">
      <c r="A313" s="5" t="s">
        <v>27</v>
      </c>
      <c r="B313" s="6" t="s">
        <v>441</v>
      </c>
      <c r="C313" s="6" t="s">
        <v>442</v>
      </c>
      <c r="D313" s="6" t="s">
        <v>443</v>
      </c>
      <c r="E313" s="6" t="s">
        <v>444</v>
      </c>
      <c r="F313" s="7">
        <v>1</v>
      </c>
    </row>
    <row r="314" ht="15" customHeight="1" spans="1:6">
      <c r="A314" s="5" t="s">
        <v>69</v>
      </c>
      <c r="B314" s="6" t="s">
        <v>445</v>
      </c>
      <c r="C314" s="6" t="s">
        <v>442</v>
      </c>
      <c r="D314" s="6" t="s">
        <v>443</v>
      </c>
      <c r="E314" s="6" t="s">
        <v>444</v>
      </c>
      <c r="F314" s="7">
        <v>2</v>
      </c>
    </row>
    <row r="315" ht="15" customHeight="1" spans="1:6">
      <c r="A315" s="5" t="s">
        <v>15</v>
      </c>
      <c r="B315" s="6" t="s">
        <v>217</v>
      </c>
      <c r="C315" s="6" t="s">
        <v>442</v>
      </c>
      <c r="D315" s="6" t="s">
        <v>443</v>
      </c>
      <c r="E315" s="6" t="s">
        <v>444</v>
      </c>
      <c r="F315" s="7">
        <v>3</v>
      </c>
    </row>
    <row r="316" ht="15" customHeight="1" spans="1:6">
      <c r="A316" s="5" t="s">
        <v>33</v>
      </c>
      <c r="B316" s="6" t="s">
        <v>446</v>
      </c>
      <c r="C316" s="6" t="s">
        <v>442</v>
      </c>
      <c r="D316" s="6" t="s">
        <v>443</v>
      </c>
      <c r="E316" s="6" t="s">
        <v>444</v>
      </c>
      <c r="F316" s="7">
        <v>4</v>
      </c>
    </row>
    <row r="317" ht="15" customHeight="1" spans="1:6">
      <c r="A317" s="5" t="s">
        <v>63</v>
      </c>
      <c r="B317" s="6" t="s">
        <v>447</v>
      </c>
      <c r="C317" s="6" t="s">
        <v>442</v>
      </c>
      <c r="D317" s="6" t="s">
        <v>443</v>
      </c>
      <c r="E317" s="6" t="s">
        <v>444</v>
      </c>
      <c r="F317" s="7">
        <v>5</v>
      </c>
    </row>
    <row r="318" ht="15" customHeight="1" spans="1:6">
      <c r="A318" s="5" t="s">
        <v>57</v>
      </c>
      <c r="B318" s="6" t="s">
        <v>448</v>
      </c>
      <c r="C318" s="6" t="s">
        <v>442</v>
      </c>
      <c r="D318" s="6" t="s">
        <v>443</v>
      </c>
      <c r="E318" s="6" t="s">
        <v>444</v>
      </c>
      <c r="F318" s="7">
        <v>6</v>
      </c>
    </row>
    <row r="319" ht="15" customHeight="1" spans="1:6">
      <c r="A319" s="5" t="s">
        <v>39</v>
      </c>
      <c r="B319" s="6" t="s">
        <v>134</v>
      </c>
      <c r="C319" s="6" t="s">
        <v>442</v>
      </c>
      <c r="D319" s="6" t="s">
        <v>449</v>
      </c>
      <c r="E319" s="6" t="s">
        <v>444</v>
      </c>
      <c r="F319" s="7">
        <v>7</v>
      </c>
    </row>
    <row r="320" ht="15" customHeight="1" spans="1:6">
      <c r="A320" s="5" t="s">
        <v>21</v>
      </c>
      <c r="B320" s="6" t="s">
        <v>138</v>
      </c>
      <c r="C320" s="6" t="s">
        <v>442</v>
      </c>
      <c r="D320" s="6" t="s">
        <v>449</v>
      </c>
      <c r="E320" s="6" t="s">
        <v>444</v>
      </c>
      <c r="F320" s="7">
        <v>8</v>
      </c>
    </row>
    <row r="321" ht="15" customHeight="1" spans="1:6">
      <c r="A321" s="5" t="s">
        <v>9</v>
      </c>
      <c r="B321" s="6" t="s">
        <v>132</v>
      </c>
      <c r="C321" s="6" t="s">
        <v>442</v>
      </c>
      <c r="D321" s="6" t="s">
        <v>449</v>
      </c>
      <c r="E321" s="6" t="s">
        <v>444</v>
      </c>
      <c r="F321" s="7">
        <v>9</v>
      </c>
    </row>
    <row r="322" ht="15" customHeight="1" spans="1:6">
      <c r="A322" s="5" t="s">
        <v>45</v>
      </c>
      <c r="B322" s="6" t="s">
        <v>138</v>
      </c>
      <c r="C322" s="6" t="s">
        <v>442</v>
      </c>
      <c r="D322" s="6" t="s">
        <v>449</v>
      </c>
      <c r="E322" s="6" t="s">
        <v>444</v>
      </c>
      <c r="F322" s="7">
        <v>10</v>
      </c>
    </row>
    <row r="323" ht="15" customHeight="1" spans="1:6">
      <c r="A323" s="5" t="s">
        <v>51</v>
      </c>
      <c r="B323" s="6" t="s">
        <v>117</v>
      </c>
      <c r="C323" s="6" t="s">
        <v>442</v>
      </c>
      <c r="D323" s="6" t="s">
        <v>449</v>
      </c>
      <c r="E323" s="6" t="s">
        <v>444</v>
      </c>
      <c r="F323" s="7">
        <v>11</v>
      </c>
    </row>
    <row r="324" ht="15" customHeight="1" spans="1:6">
      <c r="A324" s="5" t="s">
        <v>450</v>
      </c>
      <c r="B324" s="6" t="s">
        <v>124</v>
      </c>
      <c r="C324" s="6" t="s">
        <v>442</v>
      </c>
      <c r="D324" s="6" t="s">
        <v>449</v>
      </c>
      <c r="E324" s="6" t="s">
        <v>444</v>
      </c>
      <c r="F324" s="7">
        <v>12</v>
      </c>
    </row>
    <row r="325" ht="15" customHeight="1" spans="1:6">
      <c r="A325" s="5" t="s">
        <v>451</v>
      </c>
      <c r="B325" s="6" t="s">
        <v>147</v>
      </c>
      <c r="C325" s="6" t="s">
        <v>442</v>
      </c>
      <c r="D325" s="6" t="s">
        <v>449</v>
      </c>
      <c r="E325" s="6" t="s">
        <v>444</v>
      </c>
      <c r="F325" s="7">
        <v>13</v>
      </c>
    </row>
    <row r="326" ht="15" customHeight="1" spans="1:6">
      <c r="A326" s="5" t="s">
        <v>452</v>
      </c>
      <c r="B326" s="6" t="s">
        <v>89</v>
      </c>
      <c r="C326" s="6" t="s">
        <v>442</v>
      </c>
      <c r="D326" s="6" t="s">
        <v>449</v>
      </c>
      <c r="E326" s="6" t="s">
        <v>444</v>
      </c>
      <c r="F326" s="7">
        <v>14</v>
      </c>
    </row>
    <row r="327" ht="15" customHeight="1" spans="1:6">
      <c r="A327" s="5" t="s">
        <v>453</v>
      </c>
      <c r="B327" s="6" t="s">
        <v>128</v>
      </c>
      <c r="C327" s="6" t="s">
        <v>442</v>
      </c>
      <c r="D327" s="6" t="s">
        <v>449</v>
      </c>
      <c r="E327" s="6" t="s">
        <v>444</v>
      </c>
      <c r="F327" s="7">
        <v>15</v>
      </c>
    </row>
    <row r="328" ht="15" customHeight="1" spans="1:6">
      <c r="A328" s="5" t="s">
        <v>454</v>
      </c>
      <c r="B328" s="6" t="s">
        <v>113</v>
      </c>
      <c r="C328" s="6" t="s">
        <v>442</v>
      </c>
      <c r="D328" s="6" t="s">
        <v>449</v>
      </c>
      <c r="E328" s="6" t="s">
        <v>444</v>
      </c>
      <c r="F328" s="7">
        <v>16</v>
      </c>
    </row>
    <row r="329" ht="15" customHeight="1" spans="1:6">
      <c r="A329" s="5" t="s">
        <v>455</v>
      </c>
      <c r="B329" s="6" t="s">
        <v>140</v>
      </c>
      <c r="C329" s="6" t="s">
        <v>442</v>
      </c>
      <c r="D329" s="6" t="s">
        <v>449</v>
      </c>
      <c r="E329" s="6" t="s">
        <v>444</v>
      </c>
      <c r="F329" s="7">
        <v>17</v>
      </c>
    </row>
    <row r="330" ht="15" customHeight="1" spans="1:6">
      <c r="A330" s="5" t="s">
        <v>34</v>
      </c>
      <c r="B330" s="6" t="s">
        <v>93</v>
      </c>
      <c r="C330" s="6" t="s">
        <v>442</v>
      </c>
      <c r="D330" s="6" t="s">
        <v>449</v>
      </c>
      <c r="E330" s="6" t="s">
        <v>456</v>
      </c>
      <c r="F330" s="7">
        <v>1</v>
      </c>
    </row>
    <row r="331" ht="15" customHeight="1" spans="1:6">
      <c r="A331" s="5" t="s">
        <v>64</v>
      </c>
      <c r="B331" s="6" t="s">
        <v>447</v>
      </c>
      <c r="C331" s="6" t="s">
        <v>442</v>
      </c>
      <c r="D331" s="6" t="s">
        <v>443</v>
      </c>
      <c r="E331" s="6" t="s">
        <v>456</v>
      </c>
      <c r="F331" s="7">
        <v>2</v>
      </c>
    </row>
    <row r="332" ht="15" customHeight="1" spans="1:6">
      <c r="A332" s="5" t="s">
        <v>58</v>
      </c>
      <c r="B332" s="6" t="s">
        <v>136</v>
      </c>
      <c r="C332" s="6" t="s">
        <v>442</v>
      </c>
      <c r="D332" s="6" t="s">
        <v>449</v>
      </c>
      <c r="E332" s="6" t="s">
        <v>456</v>
      </c>
      <c r="F332" s="7">
        <v>3</v>
      </c>
    </row>
    <row r="333" ht="15" customHeight="1" spans="1:6">
      <c r="A333" s="5" t="s">
        <v>40</v>
      </c>
      <c r="B333" s="6" t="s">
        <v>107</v>
      </c>
      <c r="C333" s="6" t="s">
        <v>442</v>
      </c>
      <c r="D333" s="6" t="s">
        <v>449</v>
      </c>
      <c r="E333" s="6" t="s">
        <v>456</v>
      </c>
      <c r="F333" s="7">
        <v>4</v>
      </c>
    </row>
    <row r="334" ht="15" customHeight="1" spans="1:6">
      <c r="A334" s="5" t="s">
        <v>28</v>
      </c>
      <c r="B334" s="6" t="s">
        <v>97</v>
      </c>
      <c r="C334" s="6" t="s">
        <v>442</v>
      </c>
      <c r="D334" s="6" t="s">
        <v>449</v>
      </c>
      <c r="E334" s="6" t="s">
        <v>456</v>
      </c>
      <c r="F334" s="7">
        <v>5</v>
      </c>
    </row>
    <row r="335" ht="15" customHeight="1" spans="1:6">
      <c r="A335" s="5" t="s">
        <v>70</v>
      </c>
      <c r="B335" s="6" t="s">
        <v>457</v>
      </c>
      <c r="C335" s="6" t="s">
        <v>442</v>
      </c>
      <c r="D335" s="6" t="s">
        <v>443</v>
      </c>
      <c r="E335" s="6" t="s">
        <v>456</v>
      </c>
      <c r="F335" s="7">
        <v>6</v>
      </c>
    </row>
    <row r="336" ht="15" customHeight="1" spans="1:6">
      <c r="A336" s="5" t="s">
        <v>46</v>
      </c>
      <c r="B336" s="6" t="s">
        <v>105</v>
      </c>
      <c r="C336" s="6" t="s">
        <v>442</v>
      </c>
      <c r="D336" s="6" t="s">
        <v>449</v>
      </c>
      <c r="E336" s="6" t="s">
        <v>456</v>
      </c>
      <c r="F336" s="7">
        <v>7</v>
      </c>
    </row>
    <row r="337" ht="15" customHeight="1" spans="1:6">
      <c r="A337" s="5" t="s">
        <v>10</v>
      </c>
      <c r="B337" s="6" t="s">
        <v>138</v>
      </c>
      <c r="C337" s="6" t="s">
        <v>442</v>
      </c>
      <c r="D337" s="6" t="s">
        <v>449</v>
      </c>
      <c r="E337" s="6" t="s">
        <v>456</v>
      </c>
      <c r="F337" s="7">
        <v>8</v>
      </c>
    </row>
    <row r="338" ht="15" customHeight="1" spans="1:6">
      <c r="A338" s="5" t="s">
        <v>22</v>
      </c>
      <c r="B338" s="6" t="s">
        <v>128</v>
      </c>
      <c r="C338" s="6" t="s">
        <v>442</v>
      </c>
      <c r="D338" s="6" t="s">
        <v>449</v>
      </c>
      <c r="E338" s="6" t="s">
        <v>456</v>
      </c>
      <c r="F338" s="7">
        <v>9</v>
      </c>
    </row>
    <row r="339" ht="15" customHeight="1" spans="1:6">
      <c r="A339" s="5" t="s">
        <v>52</v>
      </c>
      <c r="B339" s="6" t="s">
        <v>183</v>
      </c>
      <c r="C339" s="6" t="s">
        <v>442</v>
      </c>
      <c r="D339" s="6" t="s">
        <v>449</v>
      </c>
      <c r="E339" s="6" t="s">
        <v>456</v>
      </c>
      <c r="F339" s="7">
        <v>10</v>
      </c>
    </row>
    <row r="340" ht="15" customHeight="1" spans="1:6">
      <c r="A340" s="5" t="s">
        <v>16</v>
      </c>
      <c r="B340" s="6" t="s">
        <v>147</v>
      </c>
      <c r="C340" s="6" t="s">
        <v>442</v>
      </c>
      <c r="D340" s="6" t="s">
        <v>449</v>
      </c>
      <c r="E340" s="6" t="s">
        <v>456</v>
      </c>
      <c r="F340" s="7">
        <v>11</v>
      </c>
    </row>
    <row r="341" ht="15" customHeight="1" spans="1:6">
      <c r="A341" s="5" t="s">
        <v>458</v>
      </c>
      <c r="B341" s="6" t="s">
        <v>134</v>
      </c>
      <c r="C341" s="6" t="s">
        <v>442</v>
      </c>
      <c r="D341" s="6" t="s">
        <v>449</v>
      </c>
      <c r="E341" s="6" t="s">
        <v>456</v>
      </c>
      <c r="F341" s="7">
        <v>12</v>
      </c>
    </row>
    <row r="342" ht="15" customHeight="1" spans="1:6">
      <c r="A342" s="5" t="s">
        <v>459</v>
      </c>
      <c r="B342" s="6" t="s">
        <v>158</v>
      </c>
      <c r="C342" s="6" t="s">
        <v>442</v>
      </c>
      <c r="D342" s="6" t="s">
        <v>449</v>
      </c>
      <c r="E342" s="6" t="s">
        <v>456</v>
      </c>
      <c r="F342" s="7">
        <v>13</v>
      </c>
    </row>
    <row r="343" ht="15" customHeight="1" spans="1:6">
      <c r="A343" s="5" t="s">
        <v>460</v>
      </c>
      <c r="B343" s="6" t="s">
        <v>441</v>
      </c>
      <c r="C343" s="6" t="s">
        <v>442</v>
      </c>
      <c r="D343" s="6" t="s">
        <v>443</v>
      </c>
      <c r="E343" s="6" t="s">
        <v>456</v>
      </c>
      <c r="F343" s="7">
        <v>14</v>
      </c>
    </row>
    <row r="344" ht="15" customHeight="1" spans="1:6">
      <c r="A344" s="5" t="s">
        <v>461</v>
      </c>
      <c r="B344" s="6" t="s">
        <v>89</v>
      </c>
      <c r="C344" s="6" t="s">
        <v>442</v>
      </c>
      <c r="D344" s="6" t="s">
        <v>449</v>
      </c>
      <c r="E344" s="6" t="s">
        <v>456</v>
      </c>
      <c r="F344" s="7">
        <v>15</v>
      </c>
    </row>
    <row r="345" ht="15" customHeight="1" spans="1:6">
      <c r="A345" s="5" t="s">
        <v>462</v>
      </c>
      <c r="B345" s="6" t="s">
        <v>463</v>
      </c>
      <c r="C345" s="6" t="s">
        <v>442</v>
      </c>
      <c r="D345" s="6" t="s">
        <v>443</v>
      </c>
      <c r="E345" s="6" t="s">
        <v>456</v>
      </c>
      <c r="F345" s="7">
        <v>16</v>
      </c>
    </row>
    <row r="346" ht="15" customHeight="1" spans="1:6">
      <c r="A346" s="5" t="s">
        <v>59</v>
      </c>
      <c r="B346" s="6" t="s">
        <v>447</v>
      </c>
      <c r="C346" s="6" t="s">
        <v>442</v>
      </c>
      <c r="D346" s="6" t="s">
        <v>464</v>
      </c>
      <c r="E346" s="6" t="s">
        <v>465</v>
      </c>
      <c r="F346" s="7">
        <v>1</v>
      </c>
    </row>
    <row r="347" ht="15" customHeight="1" spans="1:6">
      <c r="A347" s="5" t="s">
        <v>71</v>
      </c>
      <c r="B347" s="6" t="s">
        <v>466</v>
      </c>
      <c r="C347" s="6" t="s">
        <v>442</v>
      </c>
      <c r="D347" s="6" t="s">
        <v>464</v>
      </c>
      <c r="E347" s="6" t="s">
        <v>465</v>
      </c>
      <c r="F347" s="7">
        <v>2</v>
      </c>
    </row>
    <row r="348" ht="15" customHeight="1" spans="1:6">
      <c r="A348" s="5" t="s">
        <v>65</v>
      </c>
      <c r="B348" s="6" t="s">
        <v>446</v>
      </c>
      <c r="C348" s="6" t="s">
        <v>442</v>
      </c>
      <c r="D348" s="6" t="s">
        <v>464</v>
      </c>
      <c r="E348" s="6" t="s">
        <v>465</v>
      </c>
      <c r="F348" s="7">
        <v>3</v>
      </c>
    </row>
    <row r="349" ht="15" customHeight="1" spans="1:6">
      <c r="A349" s="5" t="s">
        <v>17</v>
      </c>
      <c r="B349" s="6" t="s">
        <v>132</v>
      </c>
      <c r="C349" s="6" t="s">
        <v>442</v>
      </c>
      <c r="D349" s="6" t="s">
        <v>467</v>
      </c>
      <c r="E349" s="6" t="s">
        <v>465</v>
      </c>
      <c r="F349" s="7">
        <v>4</v>
      </c>
    </row>
    <row r="350" ht="15" customHeight="1" spans="1:6">
      <c r="A350" s="5" t="s">
        <v>47</v>
      </c>
      <c r="B350" s="6" t="s">
        <v>91</v>
      </c>
      <c r="C350" s="6" t="s">
        <v>442</v>
      </c>
      <c r="D350" s="6" t="s">
        <v>467</v>
      </c>
      <c r="E350" s="6" t="s">
        <v>465</v>
      </c>
      <c r="F350" s="7">
        <v>5</v>
      </c>
    </row>
    <row r="351" ht="15" customHeight="1" spans="1:6">
      <c r="A351" s="5" t="s">
        <v>11</v>
      </c>
      <c r="B351" s="6" t="s">
        <v>147</v>
      </c>
      <c r="C351" s="6" t="s">
        <v>442</v>
      </c>
      <c r="D351" s="6" t="s">
        <v>467</v>
      </c>
      <c r="E351" s="6" t="s">
        <v>465</v>
      </c>
      <c r="F351" s="7">
        <v>6</v>
      </c>
    </row>
    <row r="352" ht="15" customHeight="1" spans="1:6">
      <c r="A352" s="5" t="s">
        <v>41</v>
      </c>
      <c r="B352" s="6" t="s">
        <v>131</v>
      </c>
      <c r="C352" s="6" t="s">
        <v>442</v>
      </c>
      <c r="D352" s="6" t="s">
        <v>467</v>
      </c>
      <c r="E352" s="6" t="s">
        <v>465</v>
      </c>
      <c r="F352" s="7">
        <v>7</v>
      </c>
    </row>
    <row r="353" ht="15" customHeight="1" spans="1:6">
      <c r="A353" s="5" t="s">
        <v>35</v>
      </c>
      <c r="B353" s="6" t="s">
        <v>97</v>
      </c>
      <c r="C353" s="6" t="s">
        <v>442</v>
      </c>
      <c r="D353" s="6" t="s">
        <v>467</v>
      </c>
      <c r="E353" s="6" t="s">
        <v>465</v>
      </c>
      <c r="F353" s="7">
        <v>8</v>
      </c>
    </row>
    <row r="354" ht="15" customHeight="1" spans="1:6">
      <c r="A354" s="5" t="s">
        <v>23</v>
      </c>
      <c r="B354" s="6" t="s">
        <v>107</v>
      </c>
      <c r="C354" s="6" t="s">
        <v>442</v>
      </c>
      <c r="D354" s="6" t="s">
        <v>467</v>
      </c>
      <c r="E354" s="6" t="s">
        <v>465</v>
      </c>
      <c r="F354" s="7">
        <v>9</v>
      </c>
    </row>
    <row r="355" ht="15" customHeight="1" spans="1:6">
      <c r="A355" s="5" t="s">
        <v>53</v>
      </c>
      <c r="B355" s="6" t="s">
        <v>344</v>
      </c>
      <c r="C355" s="6" t="s">
        <v>442</v>
      </c>
      <c r="D355" s="6" t="s">
        <v>467</v>
      </c>
      <c r="E355" s="6" t="s">
        <v>465</v>
      </c>
      <c r="F355" s="7">
        <v>10</v>
      </c>
    </row>
    <row r="356" ht="15" customHeight="1" spans="1:6">
      <c r="A356" s="5" t="s">
        <v>29</v>
      </c>
      <c r="B356" s="6" t="s">
        <v>181</v>
      </c>
      <c r="C356" s="6" t="s">
        <v>442</v>
      </c>
      <c r="D356" s="6" t="s">
        <v>467</v>
      </c>
      <c r="E356" s="6" t="s">
        <v>465</v>
      </c>
      <c r="F356" s="7">
        <v>11</v>
      </c>
    </row>
    <row r="357" ht="15" customHeight="1" spans="1:6">
      <c r="A357" s="5" t="s">
        <v>468</v>
      </c>
      <c r="B357" s="6" t="s">
        <v>91</v>
      </c>
      <c r="C357" s="6" t="s">
        <v>442</v>
      </c>
      <c r="D357" s="6" t="s">
        <v>467</v>
      </c>
      <c r="E357" s="6" t="s">
        <v>465</v>
      </c>
      <c r="F357" s="7">
        <v>12</v>
      </c>
    </row>
    <row r="358" ht="15" customHeight="1" spans="1:6">
      <c r="A358" s="5" t="s">
        <v>469</v>
      </c>
      <c r="B358" s="6" t="s">
        <v>134</v>
      </c>
      <c r="C358" s="6" t="s">
        <v>442</v>
      </c>
      <c r="D358" s="6" t="s">
        <v>467</v>
      </c>
      <c r="E358" s="6" t="s">
        <v>465</v>
      </c>
      <c r="F358" s="7">
        <v>13</v>
      </c>
    </row>
    <row r="359" ht="24" customHeight="1" spans="1:6">
      <c r="A359" s="5" t="s">
        <v>470</v>
      </c>
      <c r="B359" s="6" t="s">
        <v>150</v>
      </c>
      <c r="C359" s="6" t="s">
        <v>442</v>
      </c>
      <c r="D359" s="6" t="s">
        <v>464</v>
      </c>
      <c r="E359" s="6" t="s">
        <v>465</v>
      </c>
      <c r="F359" s="7">
        <v>14</v>
      </c>
    </row>
    <row r="360" ht="15" customHeight="1" spans="1:6">
      <c r="A360" s="5" t="s">
        <v>471</v>
      </c>
      <c r="B360" s="6" t="s">
        <v>105</v>
      </c>
      <c r="C360" s="6" t="s">
        <v>442</v>
      </c>
      <c r="D360" s="6" t="s">
        <v>467</v>
      </c>
      <c r="E360" s="6" t="s">
        <v>465</v>
      </c>
      <c r="F360" s="7">
        <v>15</v>
      </c>
    </row>
    <row r="361" ht="15" customHeight="1" spans="1:6">
      <c r="A361" s="5" t="s">
        <v>472</v>
      </c>
      <c r="B361" s="6" t="s">
        <v>138</v>
      </c>
      <c r="C361" s="6" t="s">
        <v>442</v>
      </c>
      <c r="D361" s="6" t="s">
        <v>467</v>
      </c>
      <c r="E361" s="6" t="s">
        <v>465</v>
      </c>
      <c r="F361" s="7">
        <v>16</v>
      </c>
    </row>
    <row r="362" ht="15" customHeight="1" spans="1:6">
      <c r="A362" s="5" t="s">
        <v>473</v>
      </c>
      <c r="B362" s="6" t="s">
        <v>474</v>
      </c>
      <c r="C362" s="6" t="s">
        <v>442</v>
      </c>
      <c r="D362" s="6" t="s">
        <v>464</v>
      </c>
      <c r="E362" s="6" t="s">
        <v>465</v>
      </c>
      <c r="F362" s="7">
        <v>17</v>
      </c>
    </row>
    <row r="363" ht="15" customHeight="1" spans="1:6">
      <c r="A363" s="5" t="s">
        <v>475</v>
      </c>
      <c r="B363" s="6" t="s">
        <v>128</v>
      </c>
      <c r="C363" s="6" t="s">
        <v>442</v>
      </c>
      <c r="D363" s="6" t="s">
        <v>467</v>
      </c>
      <c r="E363" s="6" t="s">
        <v>465</v>
      </c>
      <c r="F363" s="7">
        <v>18</v>
      </c>
    </row>
    <row r="364" ht="15" customHeight="1" spans="1:6">
      <c r="A364" s="5" t="s">
        <v>476</v>
      </c>
      <c r="B364" s="6" t="s">
        <v>477</v>
      </c>
      <c r="C364" s="6" t="s">
        <v>442</v>
      </c>
      <c r="D364" s="6" t="s">
        <v>464</v>
      </c>
      <c r="E364" s="6" t="s">
        <v>478</v>
      </c>
      <c r="F364" s="7">
        <v>1</v>
      </c>
    </row>
    <row r="365" ht="15" customHeight="1" spans="1:6">
      <c r="A365" s="5" t="s">
        <v>479</v>
      </c>
      <c r="B365" s="6" t="s">
        <v>107</v>
      </c>
      <c r="C365" s="6" t="s">
        <v>442</v>
      </c>
      <c r="D365" s="6" t="s">
        <v>467</v>
      </c>
      <c r="E365" s="6" t="s">
        <v>478</v>
      </c>
      <c r="F365" s="7">
        <v>2</v>
      </c>
    </row>
    <row r="366" ht="15" customHeight="1" spans="1:6">
      <c r="A366" s="5" t="s">
        <v>480</v>
      </c>
      <c r="B366" s="6" t="s">
        <v>132</v>
      </c>
      <c r="C366" s="6" t="s">
        <v>442</v>
      </c>
      <c r="D366" s="6" t="s">
        <v>467</v>
      </c>
      <c r="E366" s="6" t="s">
        <v>478</v>
      </c>
      <c r="F366" s="7">
        <v>3</v>
      </c>
    </row>
    <row r="367" ht="15" customHeight="1" spans="1:6">
      <c r="A367" s="5" t="s">
        <v>481</v>
      </c>
      <c r="B367" s="6" t="s">
        <v>181</v>
      </c>
      <c r="C367" s="6" t="s">
        <v>442</v>
      </c>
      <c r="D367" s="6" t="s">
        <v>467</v>
      </c>
      <c r="E367" s="6" t="s">
        <v>478</v>
      </c>
      <c r="F367" s="7">
        <v>4</v>
      </c>
    </row>
    <row r="368" ht="15" customHeight="1" spans="1:6">
      <c r="A368" s="5" t="s">
        <v>482</v>
      </c>
      <c r="B368" s="6" t="s">
        <v>91</v>
      </c>
      <c r="C368" s="6" t="s">
        <v>442</v>
      </c>
      <c r="D368" s="6" t="s">
        <v>467</v>
      </c>
      <c r="E368" s="6" t="s">
        <v>478</v>
      </c>
      <c r="F368" s="7">
        <v>5</v>
      </c>
    </row>
    <row r="369" ht="15" customHeight="1" spans="1:6">
      <c r="A369" s="5" t="s">
        <v>483</v>
      </c>
      <c r="B369" s="6" t="s">
        <v>101</v>
      </c>
      <c r="C369" s="6" t="s">
        <v>442</v>
      </c>
      <c r="D369" s="6" t="s">
        <v>467</v>
      </c>
      <c r="E369" s="6" t="s">
        <v>478</v>
      </c>
      <c r="F369" s="7">
        <v>6</v>
      </c>
    </row>
    <row r="370" ht="15" customHeight="1" spans="1:6">
      <c r="A370" s="5" t="s">
        <v>484</v>
      </c>
      <c r="B370" s="6" t="s">
        <v>131</v>
      </c>
      <c r="C370" s="6" t="s">
        <v>442</v>
      </c>
      <c r="D370" s="6" t="s">
        <v>467</v>
      </c>
      <c r="E370" s="6" t="s">
        <v>478</v>
      </c>
      <c r="F370" s="7">
        <v>7</v>
      </c>
    </row>
    <row r="371" ht="15" customHeight="1" spans="1:6">
      <c r="A371" s="5" t="s">
        <v>485</v>
      </c>
      <c r="B371" s="6" t="s">
        <v>486</v>
      </c>
      <c r="C371" s="6" t="s">
        <v>442</v>
      </c>
      <c r="D371" s="6" t="s">
        <v>464</v>
      </c>
      <c r="E371" s="6" t="s">
        <v>478</v>
      </c>
      <c r="F371" s="7">
        <v>8</v>
      </c>
    </row>
    <row r="372" ht="15" customHeight="1" spans="1:6">
      <c r="A372" s="5" t="s">
        <v>487</v>
      </c>
      <c r="B372" s="6" t="s">
        <v>117</v>
      </c>
      <c r="C372" s="6" t="s">
        <v>442</v>
      </c>
      <c r="D372" s="6" t="s">
        <v>467</v>
      </c>
      <c r="E372" s="6" t="s">
        <v>478</v>
      </c>
      <c r="F372" s="7">
        <v>9</v>
      </c>
    </row>
    <row r="373" ht="15" customHeight="1" spans="1:6">
      <c r="A373" s="5" t="s">
        <v>488</v>
      </c>
      <c r="B373" s="6" t="s">
        <v>457</v>
      </c>
      <c r="C373" s="6" t="s">
        <v>442</v>
      </c>
      <c r="D373" s="6" t="s">
        <v>464</v>
      </c>
      <c r="E373" s="6" t="s">
        <v>478</v>
      </c>
      <c r="F373" s="7">
        <v>10</v>
      </c>
    </row>
    <row r="374" ht="15" customHeight="1" spans="1:6">
      <c r="A374" s="5" t="s">
        <v>489</v>
      </c>
      <c r="B374" s="6" t="s">
        <v>134</v>
      </c>
      <c r="C374" s="6" t="s">
        <v>442</v>
      </c>
      <c r="D374" s="6" t="s">
        <v>467</v>
      </c>
      <c r="E374" s="6" t="s">
        <v>478</v>
      </c>
      <c r="F374" s="7">
        <v>11</v>
      </c>
    </row>
    <row r="375" ht="15" customHeight="1" spans="1:6">
      <c r="A375" s="5" t="s">
        <v>490</v>
      </c>
      <c r="B375" s="6" t="s">
        <v>97</v>
      </c>
      <c r="C375" s="6" t="s">
        <v>442</v>
      </c>
      <c r="D375" s="6" t="s">
        <v>467</v>
      </c>
      <c r="E375" s="6" t="s">
        <v>478</v>
      </c>
      <c r="F375" s="7">
        <v>12</v>
      </c>
    </row>
    <row r="376" ht="15" customHeight="1" spans="1:6">
      <c r="A376" s="5" t="s">
        <v>491</v>
      </c>
      <c r="B376" s="6" t="s">
        <v>492</v>
      </c>
      <c r="C376" s="6" t="s">
        <v>442</v>
      </c>
      <c r="D376" s="6" t="s">
        <v>464</v>
      </c>
      <c r="E376" s="6" t="s">
        <v>478</v>
      </c>
      <c r="F376" s="7">
        <v>13</v>
      </c>
    </row>
    <row r="377" ht="15" customHeight="1" spans="1:6">
      <c r="A377" s="5" t="s">
        <v>493</v>
      </c>
      <c r="B377" s="6" t="s">
        <v>494</v>
      </c>
      <c r="C377" s="6" t="s">
        <v>442</v>
      </c>
      <c r="D377" s="6" t="s">
        <v>464</v>
      </c>
      <c r="E377" s="6" t="s">
        <v>478</v>
      </c>
      <c r="F377" s="7">
        <v>14</v>
      </c>
    </row>
    <row r="378" ht="15" customHeight="1" spans="1:6">
      <c r="A378" s="5" t="s">
        <v>495</v>
      </c>
      <c r="B378" s="6" t="s">
        <v>147</v>
      </c>
      <c r="C378" s="6" t="s">
        <v>442</v>
      </c>
      <c r="D378" s="6" t="s">
        <v>467</v>
      </c>
      <c r="E378" s="6" t="s">
        <v>478</v>
      </c>
      <c r="F378" s="7">
        <v>15</v>
      </c>
    </row>
    <row r="379" ht="15" customHeight="1" spans="1:6">
      <c r="A379" s="5" t="s">
        <v>496</v>
      </c>
      <c r="B379" s="6" t="s">
        <v>131</v>
      </c>
      <c r="C379" s="6" t="s">
        <v>442</v>
      </c>
      <c r="D379" s="6" t="s">
        <v>467</v>
      </c>
      <c r="E379" s="6" t="s">
        <v>478</v>
      </c>
      <c r="F379" s="7">
        <v>16</v>
      </c>
    </row>
    <row r="380" ht="15" customHeight="1" spans="1:6">
      <c r="A380" s="5" t="s">
        <v>497</v>
      </c>
      <c r="B380" s="6" t="s">
        <v>498</v>
      </c>
      <c r="C380" s="6" t="s">
        <v>442</v>
      </c>
      <c r="D380" s="6" t="s">
        <v>464</v>
      </c>
      <c r="E380" s="6" t="s">
        <v>478</v>
      </c>
      <c r="F380" s="7">
        <v>17</v>
      </c>
    </row>
    <row r="381" ht="15" customHeight="1" spans="1:6">
      <c r="A381" s="5" t="s">
        <v>499</v>
      </c>
      <c r="B381" s="6" t="s">
        <v>91</v>
      </c>
      <c r="C381" s="6" t="s">
        <v>442</v>
      </c>
      <c r="D381" s="6" t="s">
        <v>467</v>
      </c>
      <c r="E381" s="6" t="s">
        <v>478</v>
      </c>
      <c r="F381" s="7">
        <v>18</v>
      </c>
    </row>
    <row r="382" ht="15" customHeight="1" spans="1:6">
      <c r="A382" s="5" t="s">
        <v>500</v>
      </c>
      <c r="B382" s="6" t="s">
        <v>91</v>
      </c>
      <c r="C382" s="6" t="s">
        <v>442</v>
      </c>
      <c r="D382" s="6" t="s">
        <v>467</v>
      </c>
      <c r="E382" s="6" t="s">
        <v>501</v>
      </c>
      <c r="F382" s="7">
        <v>1</v>
      </c>
    </row>
    <row r="383" ht="15" customHeight="1" spans="1:6">
      <c r="A383" s="5" t="s">
        <v>502</v>
      </c>
      <c r="B383" s="6" t="s">
        <v>217</v>
      </c>
      <c r="C383" s="6" t="s">
        <v>442</v>
      </c>
      <c r="D383" s="6" t="s">
        <v>467</v>
      </c>
      <c r="E383" s="6" t="s">
        <v>501</v>
      </c>
      <c r="F383" s="7">
        <v>2</v>
      </c>
    </row>
    <row r="384" ht="15" customHeight="1" spans="1:6">
      <c r="A384" s="5" t="s">
        <v>503</v>
      </c>
      <c r="B384" s="6" t="s">
        <v>89</v>
      </c>
      <c r="C384" s="6" t="s">
        <v>442</v>
      </c>
      <c r="D384" s="6" t="s">
        <v>467</v>
      </c>
      <c r="E384" s="6" t="s">
        <v>501</v>
      </c>
      <c r="F384" s="7">
        <v>3</v>
      </c>
    </row>
    <row r="385" ht="15" customHeight="1" spans="1:6">
      <c r="A385" s="5" t="s">
        <v>504</v>
      </c>
      <c r="B385" s="6" t="s">
        <v>138</v>
      </c>
      <c r="C385" s="6" t="s">
        <v>442</v>
      </c>
      <c r="D385" s="6" t="s">
        <v>467</v>
      </c>
      <c r="E385" s="6" t="s">
        <v>501</v>
      </c>
      <c r="F385" s="7">
        <v>4</v>
      </c>
    </row>
    <row r="386" ht="24" customHeight="1" spans="1:6">
      <c r="A386" s="5" t="s">
        <v>505</v>
      </c>
      <c r="B386" s="6" t="s">
        <v>506</v>
      </c>
      <c r="C386" s="6" t="s">
        <v>442</v>
      </c>
      <c r="D386" s="6" t="s">
        <v>464</v>
      </c>
      <c r="E386" s="6" t="s">
        <v>501</v>
      </c>
      <c r="F386" s="7">
        <v>5</v>
      </c>
    </row>
    <row r="387" ht="15" customHeight="1" spans="1:6">
      <c r="A387" s="5" t="s">
        <v>507</v>
      </c>
      <c r="B387" s="6" t="s">
        <v>113</v>
      </c>
      <c r="C387" s="6" t="s">
        <v>442</v>
      </c>
      <c r="D387" s="6" t="s">
        <v>467</v>
      </c>
      <c r="E387" s="6" t="s">
        <v>501</v>
      </c>
      <c r="F387" s="7">
        <v>6</v>
      </c>
    </row>
    <row r="388" ht="15" customHeight="1" spans="1:6">
      <c r="A388" s="5" t="s">
        <v>508</v>
      </c>
      <c r="B388" s="6" t="s">
        <v>405</v>
      </c>
      <c r="C388" s="6" t="s">
        <v>442</v>
      </c>
      <c r="D388" s="6" t="s">
        <v>467</v>
      </c>
      <c r="E388" s="6" t="s">
        <v>501</v>
      </c>
      <c r="F388" s="7">
        <v>7</v>
      </c>
    </row>
    <row r="389" ht="15" customHeight="1" spans="1:6">
      <c r="A389" s="5" t="s">
        <v>509</v>
      </c>
      <c r="B389" s="6" t="s">
        <v>105</v>
      </c>
      <c r="C389" s="6" t="s">
        <v>442</v>
      </c>
      <c r="D389" s="6" t="s">
        <v>467</v>
      </c>
      <c r="E389" s="6" t="s">
        <v>501</v>
      </c>
      <c r="F389" s="7">
        <v>8</v>
      </c>
    </row>
    <row r="390" ht="15" customHeight="1" spans="1:6">
      <c r="A390" s="5" t="s">
        <v>510</v>
      </c>
      <c r="B390" s="6" t="s">
        <v>445</v>
      </c>
      <c r="C390" s="6" t="s">
        <v>442</v>
      </c>
      <c r="D390" s="6" t="s">
        <v>464</v>
      </c>
      <c r="E390" s="6" t="s">
        <v>501</v>
      </c>
      <c r="F390" s="7">
        <v>9</v>
      </c>
    </row>
    <row r="391" ht="15" customHeight="1" spans="1:6">
      <c r="A391" s="5" t="s">
        <v>511</v>
      </c>
      <c r="B391" s="6" t="s">
        <v>134</v>
      </c>
      <c r="C391" s="6" t="s">
        <v>442</v>
      </c>
      <c r="D391" s="6" t="s">
        <v>467</v>
      </c>
      <c r="E391" s="6" t="s">
        <v>501</v>
      </c>
      <c r="F391" s="7">
        <v>10</v>
      </c>
    </row>
    <row r="392" ht="15" customHeight="1" spans="1:6">
      <c r="A392" s="5" t="s">
        <v>512</v>
      </c>
      <c r="B392" s="6" t="s">
        <v>131</v>
      </c>
      <c r="C392" s="6" t="s">
        <v>442</v>
      </c>
      <c r="D392" s="6" t="s">
        <v>467</v>
      </c>
      <c r="E392" s="6" t="s">
        <v>501</v>
      </c>
      <c r="F392" s="7">
        <v>11</v>
      </c>
    </row>
    <row r="393" ht="15" customHeight="1" spans="1:6">
      <c r="A393" s="5" t="s">
        <v>513</v>
      </c>
      <c r="B393" s="6" t="s">
        <v>134</v>
      </c>
      <c r="C393" s="6" t="s">
        <v>442</v>
      </c>
      <c r="D393" s="6" t="s">
        <v>467</v>
      </c>
      <c r="E393" s="6" t="s">
        <v>501</v>
      </c>
      <c r="F393" s="7">
        <v>12</v>
      </c>
    </row>
    <row r="394" ht="15" customHeight="1" spans="1:6">
      <c r="A394" s="5" t="s">
        <v>514</v>
      </c>
      <c r="B394" s="6" t="s">
        <v>91</v>
      </c>
      <c r="C394" s="6" t="s">
        <v>442</v>
      </c>
      <c r="D394" s="6" t="s">
        <v>467</v>
      </c>
      <c r="E394" s="6" t="s">
        <v>501</v>
      </c>
      <c r="F394" s="7">
        <v>13</v>
      </c>
    </row>
    <row r="395" ht="15" customHeight="1" spans="1:6">
      <c r="A395" s="5" t="s">
        <v>515</v>
      </c>
      <c r="B395" s="6" t="s">
        <v>486</v>
      </c>
      <c r="C395" s="6" t="s">
        <v>442</v>
      </c>
      <c r="D395" s="6" t="s">
        <v>464</v>
      </c>
      <c r="E395" s="6" t="s">
        <v>501</v>
      </c>
      <c r="F395" s="7">
        <v>14</v>
      </c>
    </row>
    <row r="396" ht="15" customHeight="1" spans="1:6">
      <c r="A396" s="5" t="s">
        <v>516</v>
      </c>
      <c r="B396" s="6" t="s">
        <v>95</v>
      </c>
      <c r="C396" s="6" t="s">
        <v>442</v>
      </c>
      <c r="D396" s="6" t="s">
        <v>467</v>
      </c>
      <c r="E396" s="6" t="s">
        <v>501</v>
      </c>
      <c r="F396" s="7">
        <v>15</v>
      </c>
    </row>
    <row r="397" ht="15" customHeight="1" spans="1:6">
      <c r="A397" s="5" t="s">
        <v>517</v>
      </c>
      <c r="B397" s="6" t="s">
        <v>518</v>
      </c>
      <c r="C397" s="6" t="s">
        <v>442</v>
      </c>
      <c r="D397" s="6" t="s">
        <v>464</v>
      </c>
      <c r="E397" s="6" t="s">
        <v>501</v>
      </c>
      <c r="F397" s="7">
        <v>16</v>
      </c>
    </row>
    <row r="398" ht="15" customHeight="1" spans="1:6">
      <c r="A398" s="5" t="s">
        <v>519</v>
      </c>
      <c r="B398" s="6" t="s">
        <v>128</v>
      </c>
      <c r="C398" s="6" t="s">
        <v>442</v>
      </c>
      <c r="D398" s="6" t="s">
        <v>467</v>
      </c>
      <c r="E398" s="6" t="s">
        <v>501</v>
      </c>
      <c r="F398" s="7">
        <v>17</v>
      </c>
    </row>
    <row r="399" ht="24" customHeight="1" spans="1:6">
      <c r="A399" s="5" t="s">
        <v>520</v>
      </c>
      <c r="B399" s="6" t="s">
        <v>138</v>
      </c>
      <c r="C399" s="6" t="s">
        <v>442</v>
      </c>
      <c r="D399" s="6" t="s">
        <v>521</v>
      </c>
      <c r="E399" s="6" t="s">
        <v>522</v>
      </c>
      <c r="F399" s="7">
        <v>1</v>
      </c>
    </row>
    <row r="400" ht="15" customHeight="1" spans="1:6">
      <c r="A400" s="5" t="s">
        <v>523</v>
      </c>
      <c r="B400" s="6" t="s">
        <v>89</v>
      </c>
      <c r="C400" s="6" t="s">
        <v>442</v>
      </c>
      <c r="D400" s="6" t="s">
        <v>521</v>
      </c>
      <c r="E400" s="6" t="s">
        <v>522</v>
      </c>
      <c r="F400" s="7">
        <v>2</v>
      </c>
    </row>
    <row r="401" ht="15" customHeight="1" spans="1:6">
      <c r="A401" s="5" t="s">
        <v>524</v>
      </c>
      <c r="B401" s="6" t="s">
        <v>518</v>
      </c>
      <c r="C401" s="6" t="s">
        <v>442</v>
      </c>
      <c r="D401" s="6" t="s">
        <v>525</v>
      </c>
      <c r="E401" s="6" t="s">
        <v>522</v>
      </c>
      <c r="F401" s="7">
        <v>3</v>
      </c>
    </row>
    <row r="402" ht="15" customHeight="1" spans="1:6">
      <c r="A402" s="5" t="s">
        <v>526</v>
      </c>
      <c r="B402" s="6" t="s">
        <v>527</v>
      </c>
      <c r="C402" s="6" t="s">
        <v>442</v>
      </c>
      <c r="D402" s="6" t="s">
        <v>525</v>
      </c>
      <c r="E402" s="6" t="s">
        <v>522</v>
      </c>
      <c r="F402" s="7">
        <v>4</v>
      </c>
    </row>
    <row r="403" ht="15" customHeight="1" spans="1:6">
      <c r="A403" s="5" t="s">
        <v>528</v>
      </c>
      <c r="B403" s="6" t="s">
        <v>447</v>
      </c>
      <c r="C403" s="6" t="s">
        <v>442</v>
      </c>
      <c r="D403" s="6" t="s">
        <v>525</v>
      </c>
      <c r="E403" s="6" t="s">
        <v>522</v>
      </c>
      <c r="F403" s="7">
        <v>5</v>
      </c>
    </row>
    <row r="404" ht="15" customHeight="1" spans="1:6">
      <c r="A404" s="5" t="s">
        <v>529</v>
      </c>
      <c r="B404" s="6" t="s">
        <v>109</v>
      </c>
      <c r="C404" s="6" t="s">
        <v>442</v>
      </c>
      <c r="D404" s="6" t="s">
        <v>521</v>
      </c>
      <c r="E404" s="6" t="s">
        <v>522</v>
      </c>
      <c r="F404" s="7">
        <v>6</v>
      </c>
    </row>
    <row r="405" ht="15" customHeight="1" spans="1:6">
      <c r="A405" s="5" t="s">
        <v>530</v>
      </c>
      <c r="B405" s="6" t="s">
        <v>531</v>
      </c>
      <c r="C405" s="6" t="s">
        <v>442</v>
      </c>
      <c r="D405" s="6" t="s">
        <v>525</v>
      </c>
      <c r="E405" s="6" t="s">
        <v>522</v>
      </c>
      <c r="F405" s="7">
        <v>7</v>
      </c>
    </row>
    <row r="406" ht="15" customHeight="1" spans="1:6">
      <c r="A406" s="5" t="s">
        <v>532</v>
      </c>
      <c r="B406" s="6" t="s">
        <v>93</v>
      </c>
      <c r="C406" s="6" t="s">
        <v>442</v>
      </c>
      <c r="D406" s="6" t="s">
        <v>521</v>
      </c>
      <c r="E406" s="6" t="s">
        <v>522</v>
      </c>
      <c r="F406" s="7">
        <v>8</v>
      </c>
    </row>
    <row r="407" ht="15" customHeight="1" spans="1:6">
      <c r="A407" s="5" t="s">
        <v>533</v>
      </c>
      <c r="B407" s="6" t="s">
        <v>140</v>
      </c>
      <c r="C407" s="6" t="s">
        <v>442</v>
      </c>
      <c r="D407" s="6" t="s">
        <v>521</v>
      </c>
      <c r="E407" s="6" t="s">
        <v>522</v>
      </c>
      <c r="F407" s="7">
        <v>9</v>
      </c>
    </row>
    <row r="408" ht="15" customHeight="1" spans="1:6">
      <c r="A408" s="5" t="s">
        <v>534</v>
      </c>
      <c r="B408" s="6" t="s">
        <v>518</v>
      </c>
      <c r="C408" s="6" t="s">
        <v>442</v>
      </c>
      <c r="D408" s="6" t="s">
        <v>525</v>
      </c>
      <c r="E408" s="6" t="s">
        <v>522</v>
      </c>
      <c r="F408" s="7">
        <v>10</v>
      </c>
    </row>
    <row r="409" ht="15" customHeight="1" spans="1:6">
      <c r="A409" s="5" t="s">
        <v>535</v>
      </c>
      <c r="B409" s="6" t="s">
        <v>99</v>
      </c>
      <c r="C409" s="6" t="s">
        <v>442</v>
      </c>
      <c r="D409" s="6" t="s">
        <v>521</v>
      </c>
      <c r="E409" s="6" t="s">
        <v>522</v>
      </c>
      <c r="F409" s="7">
        <v>11</v>
      </c>
    </row>
    <row r="410" ht="15" customHeight="1" spans="1:6">
      <c r="A410" s="5" t="s">
        <v>536</v>
      </c>
      <c r="B410" s="6" t="s">
        <v>113</v>
      </c>
      <c r="C410" s="6" t="s">
        <v>442</v>
      </c>
      <c r="D410" s="6" t="s">
        <v>521</v>
      </c>
      <c r="E410" s="6" t="s">
        <v>522</v>
      </c>
      <c r="F410" s="7">
        <v>12</v>
      </c>
    </row>
    <row r="411" ht="15" customHeight="1" spans="1:6">
      <c r="A411" s="5" t="s">
        <v>537</v>
      </c>
      <c r="B411" s="6" t="s">
        <v>113</v>
      </c>
      <c r="C411" s="6" t="s">
        <v>442</v>
      </c>
      <c r="D411" s="6" t="s">
        <v>521</v>
      </c>
      <c r="E411" s="6" t="s">
        <v>522</v>
      </c>
      <c r="F411" s="7">
        <v>13</v>
      </c>
    </row>
    <row r="412" ht="15" customHeight="1" spans="1:6">
      <c r="A412" s="5" t="s">
        <v>538</v>
      </c>
      <c r="B412" s="6" t="s">
        <v>117</v>
      </c>
      <c r="C412" s="6" t="s">
        <v>442</v>
      </c>
      <c r="D412" s="6" t="s">
        <v>521</v>
      </c>
      <c r="E412" s="6" t="s">
        <v>522</v>
      </c>
      <c r="F412" s="7">
        <v>14</v>
      </c>
    </row>
    <row r="413" ht="15" customHeight="1" spans="1:6">
      <c r="A413" s="5" t="s">
        <v>539</v>
      </c>
      <c r="B413" s="6" t="s">
        <v>93</v>
      </c>
      <c r="C413" s="6" t="s">
        <v>442</v>
      </c>
      <c r="D413" s="6" t="s">
        <v>521</v>
      </c>
      <c r="E413" s="6" t="s">
        <v>522</v>
      </c>
      <c r="F413" s="7">
        <v>15</v>
      </c>
    </row>
    <row r="414" ht="15" customHeight="1" spans="1:6">
      <c r="A414" s="5" t="s">
        <v>540</v>
      </c>
      <c r="B414" s="6" t="s">
        <v>107</v>
      </c>
      <c r="C414" s="6" t="s">
        <v>442</v>
      </c>
      <c r="D414" s="6" t="s">
        <v>521</v>
      </c>
      <c r="E414" s="6" t="s">
        <v>522</v>
      </c>
      <c r="F414" s="7">
        <v>16</v>
      </c>
    </row>
    <row r="415" ht="15" customHeight="1" spans="1:6">
      <c r="A415" s="5" t="s">
        <v>541</v>
      </c>
      <c r="B415" s="6" t="s">
        <v>111</v>
      </c>
      <c r="C415" s="6" t="s">
        <v>442</v>
      </c>
      <c r="D415" s="6" t="s">
        <v>521</v>
      </c>
      <c r="E415" s="6" t="s">
        <v>522</v>
      </c>
      <c r="F415" s="7">
        <v>17</v>
      </c>
    </row>
    <row r="416" ht="15" customHeight="1" spans="1:6">
      <c r="A416" s="5" t="s">
        <v>542</v>
      </c>
      <c r="B416" s="6" t="s">
        <v>405</v>
      </c>
      <c r="C416" s="6" t="s">
        <v>543</v>
      </c>
      <c r="D416" s="6" t="s">
        <v>544</v>
      </c>
      <c r="E416" s="6" t="s">
        <v>545</v>
      </c>
      <c r="F416" s="7">
        <v>1</v>
      </c>
    </row>
    <row r="417" ht="15" customHeight="1" spans="1:6">
      <c r="A417" s="5" t="s">
        <v>546</v>
      </c>
      <c r="B417" s="6" t="s">
        <v>107</v>
      </c>
      <c r="C417" s="6" t="s">
        <v>543</v>
      </c>
      <c r="D417" s="6" t="s">
        <v>544</v>
      </c>
      <c r="E417" s="6" t="s">
        <v>545</v>
      </c>
      <c r="F417" s="7">
        <v>2</v>
      </c>
    </row>
    <row r="418" ht="24" customHeight="1" spans="1:6">
      <c r="A418" s="5" t="s">
        <v>547</v>
      </c>
      <c r="B418" s="6" t="s">
        <v>150</v>
      </c>
      <c r="C418" s="6" t="s">
        <v>543</v>
      </c>
      <c r="D418" s="6" t="s">
        <v>544</v>
      </c>
      <c r="E418" s="6" t="s">
        <v>545</v>
      </c>
      <c r="F418" s="7">
        <v>3</v>
      </c>
    </row>
    <row r="419" ht="15" customHeight="1" spans="1:6">
      <c r="A419" s="5" t="s">
        <v>548</v>
      </c>
      <c r="B419" s="6" t="s">
        <v>107</v>
      </c>
      <c r="C419" s="6" t="s">
        <v>543</v>
      </c>
      <c r="D419" s="6" t="s">
        <v>544</v>
      </c>
      <c r="E419" s="6" t="s">
        <v>545</v>
      </c>
      <c r="F419" s="7">
        <v>4</v>
      </c>
    </row>
    <row r="420" ht="15" customHeight="1" spans="1:6">
      <c r="A420" s="5" t="s">
        <v>549</v>
      </c>
      <c r="B420" s="6" t="s">
        <v>95</v>
      </c>
      <c r="C420" s="6" t="s">
        <v>543</v>
      </c>
      <c r="D420" s="6" t="s">
        <v>544</v>
      </c>
      <c r="E420" s="6" t="s">
        <v>545</v>
      </c>
      <c r="F420" s="7">
        <v>5</v>
      </c>
    </row>
    <row r="421" ht="15" customHeight="1" spans="1:6">
      <c r="A421" s="5" t="s">
        <v>550</v>
      </c>
      <c r="B421" s="6" t="s">
        <v>113</v>
      </c>
      <c r="C421" s="6" t="s">
        <v>543</v>
      </c>
      <c r="D421" s="6" t="s">
        <v>544</v>
      </c>
      <c r="E421" s="6" t="s">
        <v>545</v>
      </c>
      <c r="F421" s="7">
        <v>6</v>
      </c>
    </row>
    <row r="422" ht="15" customHeight="1" spans="1:6">
      <c r="A422" s="5" t="s">
        <v>551</v>
      </c>
      <c r="B422" s="6" t="s">
        <v>134</v>
      </c>
      <c r="C422" s="6" t="s">
        <v>543</v>
      </c>
      <c r="D422" s="6" t="s">
        <v>544</v>
      </c>
      <c r="E422" s="6" t="s">
        <v>545</v>
      </c>
      <c r="F422" s="7">
        <v>7</v>
      </c>
    </row>
    <row r="423" ht="15" customHeight="1" spans="1:6">
      <c r="A423" s="5" t="s">
        <v>552</v>
      </c>
      <c r="B423" s="6" t="s">
        <v>147</v>
      </c>
      <c r="C423" s="6" t="s">
        <v>543</v>
      </c>
      <c r="D423" s="6" t="s">
        <v>544</v>
      </c>
      <c r="E423" s="6" t="s">
        <v>545</v>
      </c>
      <c r="F423" s="7">
        <v>8</v>
      </c>
    </row>
    <row r="424" ht="15" customHeight="1" spans="1:6">
      <c r="A424" s="5" t="s">
        <v>553</v>
      </c>
      <c r="B424" s="6" t="s">
        <v>124</v>
      </c>
      <c r="C424" s="6" t="s">
        <v>543</v>
      </c>
      <c r="D424" s="6" t="s">
        <v>544</v>
      </c>
      <c r="E424" s="6" t="s">
        <v>545</v>
      </c>
      <c r="F424" s="7">
        <v>9</v>
      </c>
    </row>
    <row r="425" ht="15" customHeight="1" spans="1:6">
      <c r="A425" s="5" t="s">
        <v>554</v>
      </c>
      <c r="B425" s="6" t="s">
        <v>93</v>
      </c>
      <c r="C425" s="6" t="s">
        <v>543</v>
      </c>
      <c r="D425" s="6" t="s">
        <v>544</v>
      </c>
      <c r="E425" s="6" t="s">
        <v>545</v>
      </c>
      <c r="F425" s="7">
        <v>10</v>
      </c>
    </row>
    <row r="426" ht="15" customHeight="1" spans="1:6">
      <c r="A426" s="5" t="s">
        <v>555</v>
      </c>
      <c r="B426" s="6" t="s">
        <v>101</v>
      </c>
      <c r="C426" s="6" t="s">
        <v>543</v>
      </c>
      <c r="D426" s="6" t="s">
        <v>544</v>
      </c>
      <c r="E426" s="6" t="s">
        <v>545</v>
      </c>
      <c r="F426" s="7">
        <v>11</v>
      </c>
    </row>
    <row r="427" ht="15" customHeight="1" spans="1:6">
      <c r="A427" s="5" t="s">
        <v>556</v>
      </c>
      <c r="B427" s="6" t="s">
        <v>128</v>
      </c>
      <c r="C427" s="6" t="s">
        <v>543</v>
      </c>
      <c r="D427" s="6" t="s">
        <v>544</v>
      </c>
      <c r="E427" s="6" t="s">
        <v>545</v>
      </c>
      <c r="F427" s="7">
        <v>12</v>
      </c>
    </row>
    <row r="428" ht="15" customHeight="1" spans="1:6">
      <c r="A428" s="5" t="s">
        <v>557</v>
      </c>
      <c r="B428" s="6" t="s">
        <v>122</v>
      </c>
      <c r="C428" s="6" t="s">
        <v>543</v>
      </c>
      <c r="D428" s="6" t="s">
        <v>544</v>
      </c>
      <c r="E428" s="6" t="s">
        <v>545</v>
      </c>
      <c r="F428" s="7">
        <v>13</v>
      </c>
    </row>
    <row r="429" ht="15" customHeight="1" spans="1:6">
      <c r="A429" s="5" t="s">
        <v>558</v>
      </c>
      <c r="B429" s="6" t="s">
        <v>109</v>
      </c>
      <c r="C429" s="6" t="s">
        <v>543</v>
      </c>
      <c r="D429" s="6" t="s">
        <v>544</v>
      </c>
      <c r="E429" s="6" t="s">
        <v>545</v>
      </c>
      <c r="F429" s="7">
        <v>14</v>
      </c>
    </row>
    <row r="430" ht="15" customHeight="1" spans="1:6">
      <c r="A430" s="5" t="s">
        <v>559</v>
      </c>
      <c r="B430" s="6" t="s">
        <v>132</v>
      </c>
      <c r="C430" s="6" t="s">
        <v>543</v>
      </c>
      <c r="D430" s="6" t="s">
        <v>544</v>
      </c>
      <c r="E430" s="6" t="s">
        <v>545</v>
      </c>
      <c r="F430" s="7">
        <v>15</v>
      </c>
    </row>
    <row r="431" ht="15" customHeight="1" spans="1:6">
      <c r="A431" s="5" t="s">
        <v>560</v>
      </c>
      <c r="B431" s="6" t="s">
        <v>132</v>
      </c>
      <c r="C431" s="6" t="s">
        <v>543</v>
      </c>
      <c r="D431" s="6" t="s">
        <v>544</v>
      </c>
      <c r="E431" s="6" t="s">
        <v>561</v>
      </c>
      <c r="F431" s="7">
        <v>1</v>
      </c>
    </row>
    <row r="432" ht="15" customHeight="1" spans="1:6">
      <c r="A432" s="5" t="s">
        <v>562</v>
      </c>
      <c r="B432" s="6" t="s">
        <v>107</v>
      </c>
      <c r="C432" s="6" t="s">
        <v>543</v>
      </c>
      <c r="D432" s="6" t="s">
        <v>544</v>
      </c>
      <c r="E432" s="6" t="s">
        <v>561</v>
      </c>
      <c r="F432" s="7">
        <v>2</v>
      </c>
    </row>
    <row r="433" ht="15" customHeight="1" spans="1:6">
      <c r="A433" s="5" t="s">
        <v>563</v>
      </c>
      <c r="B433" s="6" t="s">
        <v>97</v>
      </c>
      <c r="C433" s="6" t="s">
        <v>543</v>
      </c>
      <c r="D433" s="6" t="s">
        <v>544</v>
      </c>
      <c r="E433" s="6" t="s">
        <v>561</v>
      </c>
      <c r="F433" s="7">
        <v>3</v>
      </c>
    </row>
    <row r="434" ht="15" customHeight="1" spans="1:6">
      <c r="A434" s="5" t="s">
        <v>564</v>
      </c>
      <c r="B434" s="6" t="s">
        <v>132</v>
      </c>
      <c r="C434" s="6" t="s">
        <v>543</v>
      </c>
      <c r="D434" s="6" t="s">
        <v>544</v>
      </c>
      <c r="E434" s="6" t="s">
        <v>561</v>
      </c>
      <c r="F434" s="7">
        <v>4</v>
      </c>
    </row>
    <row r="435" ht="15" customHeight="1" spans="1:6">
      <c r="A435" s="5" t="s">
        <v>565</v>
      </c>
      <c r="B435" s="6" t="s">
        <v>89</v>
      </c>
      <c r="C435" s="6" t="s">
        <v>543</v>
      </c>
      <c r="D435" s="6" t="s">
        <v>544</v>
      </c>
      <c r="E435" s="6" t="s">
        <v>561</v>
      </c>
      <c r="F435" s="7">
        <v>5</v>
      </c>
    </row>
    <row r="436" ht="15" customHeight="1" spans="1:6">
      <c r="A436" s="5" t="s">
        <v>566</v>
      </c>
      <c r="B436" s="6" t="s">
        <v>405</v>
      </c>
      <c r="C436" s="6" t="s">
        <v>543</v>
      </c>
      <c r="D436" s="6" t="s">
        <v>544</v>
      </c>
      <c r="E436" s="6" t="s">
        <v>561</v>
      </c>
      <c r="F436" s="7">
        <v>6</v>
      </c>
    </row>
    <row r="437" ht="15" customHeight="1" spans="1:6">
      <c r="A437" s="5" t="s">
        <v>567</v>
      </c>
      <c r="B437" s="6" t="s">
        <v>138</v>
      </c>
      <c r="C437" s="6" t="s">
        <v>543</v>
      </c>
      <c r="D437" s="6" t="s">
        <v>544</v>
      </c>
      <c r="E437" s="6" t="s">
        <v>561</v>
      </c>
      <c r="F437" s="7">
        <v>7</v>
      </c>
    </row>
    <row r="438" ht="15" customHeight="1" spans="1:6">
      <c r="A438" s="5" t="s">
        <v>568</v>
      </c>
      <c r="B438" s="6" t="s">
        <v>107</v>
      </c>
      <c r="C438" s="6" t="s">
        <v>543</v>
      </c>
      <c r="D438" s="6" t="s">
        <v>544</v>
      </c>
      <c r="E438" s="6" t="s">
        <v>561</v>
      </c>
      <c r="F438" s="7">
        <v>8</v>
      </c>
    </row>
    <row r="439" ht="15" customHeight="1" spans="1:6">
      <c r="A439" s="5" t="s">
        <v>569</v>
      </c>
      <c r="B439" s="6" t="s">
        <v>128</v>
      </c>
      <c r="C439" s="6" t="s">
        <v>543</v>
      </c>
      <c r="D439" s="6" t="s">
        <v>544</v>
      </c>
      <c r="E439" s="6" t="s">
        <v>561</v>
      </c>
      <c r="F439" s="7">
        <v>9</v>
      </c>
    </row>
    <row r="440" ht="15" customHeight="1" spans="1:6">
      <c r="A440" s="5" t="s">
        <v>570</v>
      </c>
      <c r="B440" s="6" t="s">
        <v>134</v>
      </c>
      <c r="C440" s="6" t="s">
        <v>543</v>
      </c>
      <c r="D440" s="6" t="s">
        <v>544</v>
      </c>
      <c r="E440" s="6" t="s">
        <v>561</v>
      </c>
      <c r="F440" s="7">
        <v>10</v>
      </c>
    </row>
    <row r="441" ht="15" customHeight="1" spans="1:6">
      <c r="A441" s="5" t="s">
        <v>571</v>
      </c>
      <c r="B441" s="6" t="s">
        <v>133</v>
      </c>
      <c r="C441" s="6" t="s">
        <v>543</v>
      </c>
      <c r="D441" s="6" t="s">
        <v>544</v>
      </c>
      <c r="E441" s="6" t="s">
        <v>561</v>
      </c>
      <c r="F441" s="7">
        <v>11</v>
      </c>
    </row>
    <row r="442" ht="15" customHeight="1" spans="1:6">
      <c r="A442" s="5" t="s">
        <v>572</v>
      </c>
      <c r="B442" s="6" t="s">
        <v>147</v>
      </c>
      <c r="C442" s="6" t="s">
        <v>543</v>
      </c>
      <c r="D442" s="6" t="s">
        <v>544</v>
      </c>
      <c r="E442" s="6" t="s">
        <v>561</v>
      </c>
      <c r="F442" s="7">
        <v>12</v>
      </c>
    </row>
    <row r="443" ht="15" customHeight="1" spans="1:6">
      <c r="A443" s="5" t="s">
        <v>573</v>
      </c>
      <c r="B443" s="6" t="s">
        <v>113</v>
      </c>
      <c r="C443" s="6" t="s">
        <v>543</v>
      </c>
      <c r="D443" s="6" t="s">
        <v>544</v>
      </c>
      <c r="E443" s="6" t="s">
        <v>561</v>
      </c>
      <c r="F443" s="7">
        <v>13</v>
      </c>
    </row>
    <row r="444" ht="15" customHeight="1" spans="1:6">
      <c r="A444" s="5" t="s">
        <v>574</v>
      </c>
      <c r="B444" s="6" t="s">
        <v>93</v>
      </c>
      <c r="C444" s="6" t="s">
        <v>543</v>
      </c>
      <c r="D444" s="6" t="s">
        <v>544</v>
      </c>
      <c r="E444" s="6" t="s">
        <v>561</v>
      </c>
      <c r="F444" s="7">
        <v>14</v>
      </c>
    </row>
    <row r="445" ht="15" customHeight="1" spans="1:6">
      <c r="A445" s="5" t="s">
        <v>575</v>
      </c>
      <c r="B445" s="6" t="s">
        <v>405</v>
      </c>
      <c r="C445" s="6" t="s">
        <v>543</v>
      </c>
      <c r="D445" s="6" t="s">
        <v>544</v>
      </c>
      <c r="E445" s="6" t="s">
        <v>576</v>
      </c>
      <c r="F445" s="7">
        <v>1</v>
      </c>
    </row>
    <row r="446" ht="15" customHeight="1" spans="1:6">
      <c r="A446" s="5" t="s">
        <v>577</v>
      </c>
      <c r="B446" s="6" t="s">
        <v>89</v>
      </c>
      <c r="C446" s="6" t="s">
        <v>543</v>
      </c>
      <c r="D446" s="6" t="s">
        <v>544</v>
      </c>
      <c r="E446" s="6" t="s">
        <v>576</v>
      </c>
      <c r="F446" s="7">
        <v>2</v>
      </c>
    </row>
    <row r="447" ht="15" customHeight="1" spans="1:6">
      <c r="A447" s="5" t="s">
        <v>578</v>
      </c>
      <c r="B447" s="6" t="s">
        <v>132</v>
      </c>
      <c r="C447" s="6" t="s">
        <v>543</v>
      </c>
      <c r="D447" s="6" t="s">
        <v>544</v>
      </c>
      <c r="E447" s="6" t="s">
        <v>576</v>
      </c>
      <c r="F447" s="7">
        <v>3</v>
      </c>
    </row>
    <row r="448" ht="15" customHeight="1" spans="1:6">
      <c r="A448" s="5" t="s">
        <v>579</v>
      </c>
      <c r="B448" s="6" t="s">
        <v>132</v>
      </c>
      <c r="C448" s="6" t="s">
        <v>543</v>
      </c>
      <c r="D448" s="6" t="s">
        <v>544</v>
      </c>
      <c r="E448" s="6" t="s">
        <v>576</v>
      </c>
      <c r="F448" s="7">
        <v>4</v>
      </c>
    </row>
    <row r="449" ht="15" customHeight="1" spans="1:6">
      <c r="A449" s="5" t="s">
        <v>580</v>
      </c>
      <c r="B449" s="6" t="s">
        <v>147</v>
      </c>
      <c r="C449" s="6" t="s">
        <v>543</v>
      </c>
      <c r="D449" s="6" t="s">
        <v>544</v>
      </c>
      <c r="E449" s="6" t="s">
        <v>576</v>
      </c>
      <c r="F449" s="7">
        <v>5</v>
      </c>
    </row>
    <row r="450" ht="15" customHeight="1" spans="1:6">
      <c r="A450" s="5" t="s">
        <v>581</v>
      </c>
      <c r="B450" s="6" t="s">
        <v>95</v>
      </c>
      <c r="C450" s="6" t="s">
        <v>543</v>
      </c>
      <c r="D450" s="6" t="s">
        <v>544</v>
      </c>
      <c r="E450" s="6" t="s">
        <v>576</v>
      </c>
      <c r="F450" s="7">
        <v>6</v>
      </c>
    </row>
    <row r="451" ht="15" customHeight="1" spans="1:6">
      <c r="A451" s="5" t="s">
        <v>582</v>
      </c>
      <c r="B451" s="6" t="s">
        <v>134</v>
      </c>
      <c r="C451" s="6" t="s">
        <v>543</v>
      </c>
      <c r="D451" s="6" t="s">
        <v>544</v>
      </c>
      <c r="E451" s="6" t="s">
        <v>576</v>
      </c>
      <c r="F451" s="7">
        <v>7</v>
      </c>
    </row>
    <row r="452" ht="15" customHeight="1" spans="1:6">
      <c r="A452" s="5" t="s">
        <v>583</v>
      </c>
      <c r="B452" s="6" t="s">
        <v>133</v>
      </c>
      <c r="C452" s="6" t="s">
        <v>543</v>
      </c>
      <c r="D452" s="6" t="s">
        <v>544</v>
      </c>
      <c r="E452" s="6" t="s">
        <v>576</v>
      </c>
      <c r="F452" s="7">
        <v>8</v>
      </c>
    </row>
    <row r="453" ht="15" customHeight="1" spans="1:6">
      <c r="A453" s="5" t="s">
        <v>584</v>
      </c>
      <c r="B453" s="6" t="s">
        <v>134</v>
      </c>
      <c r="C453" s="6" t="s">
        <v>543</v>
      </c>
      <c r="D453" s="6" t="s">
        <v>544</v>
      </c>
      <c r="E453" s="6" t="s">
        <v>576</v>
      </c>
      <c r="F453" s="7">
        <v>9</v>
      </c>
    </row>
    <row r="454" ht="24" customHeight="1" spans="1:6">
      <c r="A454" s="5" t="s">
        <v>585</v>
      </c>
      <c r="B454" s="6" t="s">
        <v>107</v>
      </c>
      <c r="C454" s="6" t="s">
        <v>543</v>
      </c>
      <c r="D454" s="6" t="s">
        <v>544</v>
      </c>
      <c r="E454" s="6" t="s">
        <v>576</v>
      </c>
      <c r="F454" s="7">
        <v>10</v>
      </c>
    </row>
    <row r="455" ht="15" customHeight="1" spans="1:6">
      <c r="A455" s="5" t="s">
        <v>586</v>
      </c>
      <c r="B455" s="6" t="s">
        <v>93</v>
      </c>
      <c r="C455" s="6" t="s">
        <v>543</v>
      </c>
      <c r="D455" s="6" t="s">
        <v>544</v>
      </c>
      <c r="E455" s="6" t="s">
        <v>576</v>
      </c>
      <c r="F455" s="7">
        <v>11</v>
      </c>
    </row>
    <row r="456" ht="15" customHeight="1" spans="1:6">
      <c r="A456" s="5" t="s">
        <v>587</v>
      </c>
      <c r="B456" s="6" t="s">
        <v>105</v>
      </c>
      <c r="C456" s="6" t="s">
        <v>543</v>
      </c>
      <c r="D456" s="6" t="s">
        <v>544</v>
      </c>
      <c r="E456" s="6" t="s">
        <v>576</v>
      </c>
      <c r="F456" s="7">
        <v>12</v>
      </c>
    </row>
    <row r="457" ht="15" customHeight="1" spans="1:6">
      <c r="A457" s="5" t="s">
        <v>588</v>
      </c>
      <c r="B457" s="6" t="s">
        <v>109</v>
      </c>
      <c r="C457" s="6" t="s">
        <v>543</v>
      </c>
      <c r="D457" s="6" t="s">
        <v>544</v>
      </c>
      <c r="E457" s="6" t="s">
        <v>576</v>
      </c>
      <c r="F457" s="7">
        <v>13</v>
      </c>
    </row>
    <row r="458" ht="15" customHeight="1" spans="1:6">
      <c r="A458" s="5" t="s">
        <v>589</v>
      </c>
      <c r="B458" s="6" t="s">
        <v>138</v>
      </c>
      <c r="C458" s="6" t="s">
        <v>543</v>
      </c>
      <c r="D458" s="6" t="s">
        <v>544</v>
      </c>
      <c r="E458" s="6" t="s">
        <v>576</v>
      </c>
      <c r="F458" s="7">
        <v>14</v>
      </c>
    </row>
    <row r="459" ht="15" customHeight="1" spans="1:6">
      <c r="A459" s="5" t="s">
        <v>590</v>
      </c>
      <c r="B459" s="6" t="s">
        <v>107</v>
      </c>
      <c r="C459" s="6" t="s">
        <v>543</v>
      </c>
      <c r="D459" s="6" t="s">
        <v>591</v>
      </c>
      <c r="E459" s="6" t="s">
        <v>592</v>
      </c>
      <c r="F459" s="7">
        <v>1</v>
      </c>
    </row>
    <row r="460" ht="15" customHeight="1" spans="1:6">
      <c r="A460" s="5" t="s">
        <v>593</v>
      </c>
      <c r="B460" s="6" t="s">
        <v>138</v>
      </c>
      <c r="C460" s="6" t="s">
        <v>543</v>
      </c>
      <c r="D460" s="6" t="s">
        <v>591</v>
      </c>
      <c r="E460" s="6" t="s">
        <v>592</v>
      </c>
      <c r="F460" s="7">
        <v>2</v>
      </c>
    </row>
    <row r="461" ht="15" customHeight="1" spans="1:6">
      <c r="A461" s="5" t="s">
        <v>594</v>
      </c>
      <c r="B461" s="6" t="s">
        <v>128</v>
      </c>
      <c r="C461" s="6" t="s">
        <v>543</v>
      </c>
      <c r="D461" s="6" t="s">
        <v>591</v>
      </c>
      <c r="E461" s="6" t="s">
        <v>592</v>
      </c>
      <c r="F461" s="7">
        <v>3</v>
      </c>
    </row>
    <row r="462" ht="24" customHeight="1" spans="1:6">
      <c r="A462" s="5" t="s">
        <v>595</v>
      </c>
      <c r="B462" s="6" t="s">
        <v>136</v>
      </c>
      <c r="C462" s="6" t="s">
        <v>543</v>
      </c>
      <c r="D462" s="6" t="s">
        <v>596</v>
      </c>
      <c r="E462" s="6" t="s">
        <v>592</v>
      </c>
      <c r="F462" s="7">
        <v>4</v>
      </c>
    </row>
    <row r="463" ht="15" customHeight="1" spans="1:6">
      <c r="A463" s="5" t="s">
        <v>597</v>
      </c>
      <c r="B463" s="6" t="s">
        <v>138</v>
      </c>
      <c r="C463" s="6" t="s">
        <v>543</v>
      </c>
      <c r="D463" s="6" t="s">
        <v>591</v>
      </c>
      <c r="E463" s="6" t="s">
        <v>592</v>
      </c>
      <c r="F463" s="7">
        <v>5</v>
      </c>
    </row>
    <row r="464" ht="24" customHeight="1" spans="1:6">
      <c r="A464" s="5" t="s">
        <v>598</v>
      </c>
      <c r="B464" s="6" t="s">
        <v>147</v>
      </c>
      <c r="C464" s="6" t="s">
        <v>543</v>
      </c>
      <c r="D464" s="6" t="s">
        <v>596</v>
      </c>
      <c r="E464" s="6" t="s">
        <v>592</v>
      </c>
      <c r="F464" s="7">
        <v>6</v>
      </c>
    </row>
    <row r="465" ht="15" customHeight="1" spans="1:6">
      <c r="A465" s="5" t="s">
        <v>599</v>
      </c>
      <c r="B465" s="6" t="s">
        <v>113</v>
      </c>
      <c r="C465" s="6" t="s">
        <v>543</v>
      </c>
      <c r="D465" s="6" t="s">
        <v>591</v>
      </c>
      <c r="E465" s="6" t="s">
        <v>592</v>
      </c>
      <c r="F465" s="7">
        <v>7</v>
      </c>
    </row>
    <row r="466" ht="15" customHeight="1" spans="1:6">
      <c r="A466" s="5" t="s">
        <v>600</v>
      </c>
      <c r="B466" s="6" t="s">
        <v>93</v>
      </c>
      <c r="C466" s="6" t="s">
        <v>543</v>
      </c>
      <c r="D466" s="6" t="s">
        <v>591</v>
      </c>
      <c r="E466" s="6" t="s">
        <v>592</v>
      </c>
      <c r="F466" s="7">
        <v>8</v>
      </c>
    </row>
    <row r="467" ht="15" customHeight="1" spans="1:6">
      <c r="A467" s="5" t="s">
        <v>601</v>
      </c>
      <c r="B467" s="6" t="s">
        <v>147</v>
      </c>
      <c r="C467" s="6" t="s">
        <v>543</v>
      </c>
      <c r="D467" s="6" t="s">
        <v>591</v>
      </c>
      <c r="E467" s="6" t="s">
        <v>592</v>
      </c>
      <c r="F467" s="7">
        <v>9</v>
      </c>
    </row>
    <row r="468" ht="15" customHeight="1" spans="1:6">
      <c r="A468" s="5" t="s">
        <v>602</v>
      </c>
      <c r="B468" s="6" t="s">
        <v>111</v>
      </c>
      <c r="C468" s="6" t="s">
        <v>543</v>
      </c>
      <c r="D468" s="6" t="s">
        <v>591</v>
      </c>
      <c r="E468" s="6" t="s">
        <v>592</v>
      </c>
      <c r="F468" s="7">
        <v>10</v>
      </c>
    </row>
    <row r="469" ht="15" customHeight="1" spans="1:6">
      <c r="A469" s="5" t="s">
        <v>603</v>
      </c>
      <c r="B469" s="6" t="s">
        <v>128</v>
      </c>
      <c r="C469" s="6" t="s">
        <v>543</v>
      </c>
      <c r="D469" s="6" t="s">
        <v>591</v>
      </c>
      <c r="E469" s="6" t="s">
        <v>592</v>
      </c>
      <c r="F469" s="7">
        <v>11</v>
      </c>
    </row>
    <row r="470" ht="15" customHeight="1" spans="1:6">
      <c r="A470" s="5" t="s">
        <v>604</v>
      </c>
      <c r="B470" s="6" t="s">
        <v>131</v>
      </c>
      <c r="C470" s="6" t="s">
        <v>543</v>
      </c>
      <c r="D470" s="6" t="s">
        <v>591</v>
      </c>
      <c r="E470" s="6" t="s">
        <v>592</v>
      </c>
      <c r="F470" s="7">
        <v>12</v>
      </c>
    </row>
    <row r="471" ht="15" customHeight="1" spans="1:6">
      <c r="A471" s="5" t="s">
        <v>605</v>
      </c>
      <c r="B471" s="6" t="s">
        <v>140</v>
      </c>
      <c r="C471" s="6" t="s">
        <v>543</v>
      </c>
      <c r="D471" s="6" t="s">
        <v>591</v>
      </c>
      <c r="E471" s="6" t="s">
        <v>592</v>
      </c>
      <c r="F471" s="7">
        <v>13</v>
      </c>
    </row>
    <row r="472" ht="24" customHeight="1" spans="1:6">
      <c r="A472" s="5" t="s">
        <v>606</v>
      </c>
      <c r="B472" s="6" t="s">
        <v>113</v>
      </c>
      <c r="C472" s="6" t="s">
        <v>543</v>
      </c>
      <c r="D472" s="6" t="s">
        <v>596</v>
      </c>
      <c r="E472" s="6" t="s">
        <v>592</v>
      </c>
      <c r="F472" s="7">
        <v>14</v>
      </c>
    </row>
    <row r="473" ht="15" customHeight="1" spans="1:6">
      <c r="A473" s="5" t="s">
        <v>607</v>
      </c>
      <c r="B473" s="6" t="s">
        <v>124</v>
      </c>
      <c r="C473" s="6" t="s">
        <v>543</v>
      </c>
      <c r="D473" s="6" t="s">
        <v>591</v>
      </c>
      <c r="E473" s="6" t="s">
        <v>592</v>
      </c>
      <c r="F473" s="7">
        <v>15</v>
      </c>
    </row>
    <row r="474" ht="15" customHeight="1" spans="1:6">
      <c r="A474" s="5" t="s">
        <v>608</v>
      </c>
      <c r="B474" s="6" t="s">
        <v>132</v>
      </c>
      <c r="C474" s="6" t="s">
        <v>543</v>
      </c>
      <c r="D474" s="6" t="s">
        <v>591</v>
      </c>
      <c r="E474" s="6" t="s">
        <v>592</v>
      </c>
      <c r="F474" s="7">
        <v>16</v>
      </c>
    </row>
    <row r="475" ht="15" customHeight="1" spans="1:6">
      <c r="A475" s="5" t="s">
        <v>609</v>
      </c>
      <c r="B475" s="6" t="s">
        <v>128</v>
      </c>
      <c r="C475" s="6" t="s">
        <v>543</v>
      </c>
      <c r="D475" s="6" t="s">
        <v>591</v>
      </c>
      <c r="E475" s="6" t="s">
        <v>592</v>
      </c>
      <c r="F475" s="7">
        <v>17</v>
      </c>
    </row>
    <row r="476" ht="15" customHeight="1" spans="1:6">
      <c r="A476" s="5" t="s">
        <v>610</v>
      </c>
      <c r="B476" s="6" t="s">
        <v>113</v>
      </c>
      <c r="C476" s="6" t="s">
        <v>543</v>
      </c>
      <c r="D476" s="6" t="s">
        <v>591</v>
      </c>
      <c r="E476" s="6" t="s">
        <v>592</v>
      </c>
      <c r="F476" s="7">
        <v>18</v>
      </c>
    </row>
    <row r="477" ht="15" customHeight="1" spans="1:6">
      <c r="A477" s="5" t="s">
        <v>611</v>
      </c>
      <c r="B477" s="6" t="s">
        <v>441</v>
      </c>
      <c r="C477" s="6" t="s">
        <v>543</v>
      </c>
      <c r="D477" s="6" t="s">
        <v>591</v>
      </c>
      <c r="E477" s="6" t="s">
        <v>592</v>
      </c>
      <c r="F477" s="7">
        <v>19</v>
      </c>
    </row>
    <row r="478" ht="15" customHeight="1" spans="1:6">
      <c r="A478" s="5" t="s">
        <v>612</v>
      </c>
      <c r="B478" s="6" t="s">
        <v>95</v>
      </c>
      <c r="C478" s="6" t="s">
        <v>543</v>
      </c>
      <c r="D478" s="6" t="s">
        <v>591</v>
      </c>
      <c r="E478" s="6" t="s">
        <v>592</v>
      </c>
      <c r="F478" s="7">
        <v>20</v>
      </c>
    </row>
    <row r="479" ht="15" customHeight="1" spans="1:6">
      <c r="A479" s="5" t="s">
        <v>613</v>
      </c>
      <c r="B479" s="6" t="s">
        <v>124</v>
      </c>
      <c r="C479" s="6" t="s">
        <v>543</v>
      </c>
      <c r="D479" s="6" t="s">
        <v>614</v>
      </c>
      <c r="E479" s="6" t="s">
        <v>615</v>
      </c>
      <c r="F479" s="7">
        <v>1</v>
      </c>
    </row>
    <row r="480" ht="15" customHeight="1" spans="1:6">
      <c r="A480" s="5" t="s">
        <v>616</v>
      </c>
      <c r="B480" s="6" t="s">
        <v>117</v>
      </c>
      <c r="C480" s="6" t="s">
        <v>543</v>
      </c>
      <c r="D480" s="6" t="s">
        <v>614</v>
      </c>
      <c r="E480" s="6" t="s">
        <v>615</v>
      </c>
      <c r="F480" s="7">
        <v>2</v>
      </c>
    </row>
    <row r="481" ht="15" customHeight="1" spans="1:6">
      <c r="A481" s="5" t="s">
        <v>617</v>
      </c>
      <c r="B481" s="6" t="s">
        <v>243</v>
      </c>
      <c r="C481" s="6" t="s">
        <v>543</v>
      </c>
      <c r="D481" s="6" t="s">
        <v>614</v>
      </c>
      <c r="E481" s="6" t="s">
        <v>615</v>
      </c>
      <c r="F481" s="7">
        <v>3</v>
      </c>
    </row>
    <row r="482" ht="15" customHeight="1" spans="1:6">
      <c r="A482" s="5" t="s">
        <v>618</v>
      </c>
      <c r="B482" s="6" t="s">
        <v>138</v>
      </c>
      <c r="C482" s="6" t="s">
        <v>543</v>
      </c>
      <c r="D482" s="6" t="s">
        <v>614</v>
      </c>
      <c r="E482" s="6" t="s">
        <v>615</v>
      </c>
      <c r="F482" s="7">
        <v>4</v>
      </c>
    </row>
    <row r="483" ht="15" customHeight="1" spans="1:6">
      <c r="A483" s="5" t="s">
        <v>619</v>
      </c>
      <c r="B483" s="6" t="s">
        <v>405</v>
      </c>
      <c r="C483" s="6" t="s">
        <v>543</v>
      </c>
      <c r="D483" s="6" t="s">
        <v>614</v>
      </c>
      <c r="E483" s="6" t="s">
        <v>615</v>
      </c>
      <c r="F483" s="7">
        <v>5</v>
      </c>
    </row>
    <row r="484" ht="15" customHeight="1" spans="1:6">
      <c r="A484" s="5" t="s">
        <v>620</v>
      </c>
      <c r="B484" s="6" t="s">
        <v>134</v>
      </c>
      <c r="C484" s="6" t="s">
        <v>543</v>
      </c>
      <c r="D484" s="6" t="s">
        <v>614</v>
      </c>
      <c r="E484" s="6" t="s">
        <v>615</v>
      </c>
      <c r="F484" s="7">
        <v>6</v>
      </c>
    </row>
    <row r="485" ht="15" customHeight="1" spans="1:6">
      <c r="A485" s="5" t="s">
        <v>621</v>
      </c>
      <c r="B485" s="6" t="s">
        <v>131</v>
      </c>
      <c r="C485" s="6" t="s">
        <v>543</v>
      </c>
      <c r="D485" s="6" t="s">
        <v>614</v>
      </c>
      <c r="E485" s="6" t="s">
        <v>615</v>
      </c>
      <c r="F485" s="7">
        <v>7</v>
      </c>
    </row>
    <row r="486" ht="15" customHeight="1" spans="1:6">
      <c r="A486" s="5" t="s">
        <v>622</v>
      </c>
      <c r="B486" s="6" t="s">
        <v>93</v>
      </c>
      <c r="C486" s="6" t="s">
        <v>543</v>
      </c>
      <c r="D486" s="6" t="s">
        <v>614</v>
      </c>
      <c r="E486" s="6" t="s">
        <v>615</v>
      </c>
      <c r="F486" s="7">
        <v>8</v>
      </c>
    </row>
    <row r="487" ht="15" customHeight="1" spans="1:6">
      <c r="A487" s="5" t="s">
        <v>623</v>
      </c>
      <c r="B487" s="6" t="s">
        <v>107</v>
      </c>
      <c r="C487" s="6" t="s">
        <v>543</v>
      </c>
      <c r="D487" s="6" t="s">
        <v>614</v>
      </c>
      <c r="E487" s="6" t="s">
        <v>615</v>
      </c>
      <c r="F487" s="7">
        <v>9</v>
      </c>
    </row>
    <row r="488" ht="15" customHeight="1" spans="1:6">
      <c r="A488" s="5" t="s">
        <v>624</v>
      </c>
      <c r="B488" s="6" t="s">
        <v>147</v>
      </c>
      <c r="C488" s="6" t="s">
        <v>543</v>
      </c>
      <c r="D488" s="6" t="s">
        <v>614</v>
      </c>
      <c r="E488" s="6" t="s">
        <v>615</v>
      </c>
      <c r="F488" s="7">
        <v>10</v>
      </c>
    </row>
    <row r="489" ht="15" customHeight="1" spans="1:6">
      <c r="A489" s="5" t="s">
        <v>625</v>
      </c>
      <c r="B489" s="6" t="s">
        <v>117</v>
      </c>
      <c r="C489" s="6" t="s">
        <v>543</v>
      </c>
      <c r="D489" s="6" t="s">
        <v>614</v>
      </c>
      <c r="E489" s="6" t="s">
        <v>615</v>
      </c>
      <c r="F489" s="7">
        <v>11</v>
      </c>
    </row>
    <row r="490" ht="15" customHeight="1" spans="1:6">
      <c r="A490" s="5" t="s">
        <v>626</v>
      </c>
      <c r="B490" s="6" t="s">
        <v>105</v>
      </c>
      <c r="C490" s="6" t="s">
        <v>543</v>
      </c>
      <c r="D490" s="6" t="s">
        <v>614</v>
      </c>
      <c r="E490" s="6" t="s">
        <v>615</v>
      </c>
      <c r="F490" s="7">
        <v>12</v>
      </c>
    </row>
    <row r="491" ht="15" customHeight="1" spans="1:6">
      <c r="A491" s="5" t="s">
        <v>627</v>
      </c>
      <c r="B491" s="6" t="s">
        <v>117</v>
      </c>
      <c r="C491" s="6" t="s">
        <v>543</v>
      </c>
      <c r="D491" s="6" t="s">
        <v>614</v>
      </c>
      <c r="E491" s="6" t="s">
        <v>628</v>
      </c>
      <c r="F491" s="7">
        <v>1</v>
      </c>
    </row>
    <row r="492" ht="15" customHeight="1" spans="1:6">
      <c r="A492" s="5" t="s">
        <v>629</v>
      </c>
      <c r="B492" s="6" t="s">
        <v>119</v>
      </c>
      <c r="C492" s="6" t="s">
        <v>543</v>
      </c>
      <c r="D492" s="6" t="s">
        <v>614</v>
      </c>
      <c r="E492" s="6" t="s">
        <v>628</v>
      </c>
      <c r="F492" s="7">
        <v>2</v>
      </c>
    </row>
    <row r="493" ht="15" customHeight="1" spans="1:6">
      <c r="A493" s="5" t="s">
        <v>630</v>
      </c>
      <c r="B493" s="6" t="s">
        <v>107</v>
      </c>
      <c r="C493" s="6" t="s">
        <v>543</v>
      </c>
      <c r="D493" s="6" t="s">
        <v>614</v>
      </c>
      <c r="E493" s="6" t="s">
        <v>628</v>
      </c>
      <c r="F493" s="7">
        <v>3</v>
      </c>
    </row>
    <row r="494" ht="15" customHeight="1" spans="1:6">
      <c r="A494" s="5" t="s">
        <v>631</v>
      </c>
      <c r="B494" s="6" t="s">
        <v>132</v>
      </c>
      <c r="C494" s="6" t="s">
        <v>543</v>
      </c>
      <c r="D494" s="6" t="s">
        <v>614</v>
      </c>
      <c r="E494" s="6" t="s">
        <v>628</v>
      </c>
      <c r="F494" s="7">
        <v>4</v>
      </c>
    </row>
    <row r="495" ht="15" customHeight="1" spans="1:6">
      <c r="A495" s="5" t="s">
        <v>632</v>
      </c>
      <c r="B495" s="6" t="s">
        <v>122</v>
      </c>
      <c r="C495" s="6" t="s">
        <v>543</v>
      </c>
      <c r="D495" s="6" t="s">
        <v>614</v>
      </c>
      <c r="E495" s="6" t="s">
        <v>628</v>
      </c>
      <c r="F495" s="7">
        <v>5</v>
      </c>
    </row>
    <row r="496" ht="15" customHeight="1" spans="1:6">
      <c r="A496" s="5" t="s">
        <v>633</v>
      </c>
      <c r="B496" s="6" t="s">
        <v>349</v>
      </c>
      <c r="C496" s="6" t="s">
        <v>543</v>
      </c>
      <c r="D496" s="6" t="s">
        <v>614</v>
      </c>
      <c r="E496" s="6" t="s">
        <v>628</v>
      </c>
      <c r="F496" s="7">
        <v>6</v>
      </c>
    </row>
    <row r="497" ht="15" customHeight="1" spans="1:6">
      <c r="A497" s="5" t="s">
        <v>634</v>
      </c>
      <c r="B497" s="6" t="s">
        <v>147</v>
      </c>
      <c r="C497" s="6" t="s">
        <v>543</v>
      </c>
      <c r="D497" s="6" t="s">
        <v>614</v>
      </c>
      <c r="E497" s="6" t="s">
        <v>628</v>
      </c>
      <c r="F497" s="7">
        <v>7</v>
      </c>
    </row>
    <row r="498" ht="15" customHeight="1" spans="1:6">
      <c r="A498" s="5" t="s">
        <v>635</v>
      </c>
      <c r="B498" s="6" t="s">
        <v>405</v>
      </c>
      <c r="C498" s="6" t="s">
        <v>543</v>
      </c>
      <c r="D498" s="6" t="s">
        <v>614</v>
      </c>
      <c r="E498" s="6" t="s">
        <v>628</v>
      </c>
      <c r="F498" s="7">
        <v>8</v>
      </c>
    </row>
    <row r="499" ht="15" customHeight="1" spans="1:6">
      <c r="A499" s="5" t="s">
        <v>636</v>
      </c>
      <c r="B499" s="6" t="s">
        <v>134</v>
      </c>
      <c r="C499" s="6" t="s">
        <v>543</v>
      </c>
      <c r="D499" s="6" t="s">
        <v>614</v>
      </c>
      <c r="E499" s="6" t="s">
        <v>628</v>
      </c>
      <c r="F499" s="7">
        <v>9</v>
      </c>
    </row>
    <row r="500" ht="15" customHeight="1" spans="1:6">
      <c r="A500" s="5" t="s">
        <v>637</v>
      </c>
      <c r="B500" s="6" t="s">
        <v>181</v>
      </c>
      <c r="C500" s="6" t="s">
        <v>543</v>
      </c>
      <c r="D500" s="6" t="s">
        <v>614</v>
      </c>
      <c r="E500" s="6" t="s">
        <v>628</v>
      </c>
      <c r="F500" s="7">
        <v>10</v>
      </c>
    </row>
    <row r="501" ht="15" customHeight="1" spans="1:6">
      <c r="A501" s="5" t="s">
        <v>638</v>
      </c>
      <c r="B501" s="6" t="s">
        <v>117</v>
      </c>
      <c r="C501" s="6" t="s">
        <v>543</v>
      </c>
      <c r="D501" s="6" t="s">
        <v>614</v>
      </c>
      <c r="E501" s="6" t="s">
        <v>628</v>
      </c>
      <c r="F501" s="7">
        <v>11</v>
      </c>
    </row>
    <row r="502" ht="15" customHeight="1" spans="1:6">
      <c r="A502" s="5" t="s">
        <v>639</v>
      </c>
      <c r="B502" s="6" t="s">
        <v>124</v>
      </c>
      <c r="C502" s="6" t="s">
        <v>543</v>
      </c>
      <c r="D502" s="6" t="s">
        <v>614</v>
      </c>
      <c r="E502" s="6" t="s">
        <v>628</v>
      </c>
      <c r="F502" s="7">
        <v>12</v>
      </c>
    </row>
    <row r="503" ht="15" customHeight="1" spans="1:6">
      <c r="A503" s="5" t="s">
        <v>640</v>
      </c>
      <c r="B503" s="6" t="s">
        <v>128</v>
      </c>
      <c r="C503" s="6" t="s">
        <v>543</v>
      </c>
      <c r="D503" s="6" t="s">
        <v>614</v>
      </c>
      <c r="E503" s="6" t="s">
        <v>628</v>
      </c>
      <c r="F503" s="7">
        <v>13</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zoomScale="85" zoomScaleNormal="85" workbookViewId="0">
      <selection activeCell="G29" sqref="G29"/>
    </sheetView>
  </sheetViews>
  <sheetFormatPr defaultColWidth="8.96666666666667" defaultRowHeight="13.5" outlineLevelRow="6"/>
  <sheetData>
    <row r="1" ht="14.25" spans="1:1">
      <c r="A1" s="1" t="s">
        <v>641</v>
      </c>
    </row>
    <row r="2" ht="14.25" spans="1:1">
      <c r="A2" s="1" t="s">
        <v>642</v>
      </c>
    </row>
    <row r="3" ht="14.25" spans="1:1">
      <c r="A3" s="1" t="s">
        <v>643</v>
      </c>
    </row>
    <row r="4" ht="14.25" spans="1:1">
      <c r="A4" s="1" t="s">
        <v>644</v>
      </c>
    </row>
    <row r="5" ht="14.25" spans="1:1">
      <c r="A5" s="1" t="s">
        <v>645</v>
      </c>
    </row>
    <row r="7" spans="1:1">
      <c r="A7" s="2" t="s">
        <v>646</v>
      </c>
    </row>
  </sheetData>
  <hyperlinks>
    <hyperlink ref="A1" r:id="rId1" display="https://jspitcm.woczx.com/event/eventscort/150"/>
    <hyperlink ref="A2" r:id="rId2" display="https://jspitcm.woczx.com/event/eventscort/151"/>
    <hyperlink ref="A3" r:id="rId3" display="https://jspitcm.woczx.com/event/eventscort/152"/>
    <hyperlink ref="A4" r:id="rId4" display="https://jspitcm.woczx.com/event/eventscort/135"/>
    <hyperlink ref="A5" r:id="rId5" display="https://jspitcm.woczx.com/event/eventscort/13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展示</vt:lpstr>
      <vt:lpstr>手动更新</vt:lpstr>
      <vt:lpstr>路演答辩顺序</vt:lpstr>
      <vt:lpstr>数据表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VX苏御辰</cp:lastModifiedBy>
  <dcterms:created xsi:type="dcterms:W3CDTF">2026-09-19T03:38:00Z</dcterms:created>
  <dcterms:modified xsi:type="dcterms:W3CDTF">2026-09-19T04:18:00Z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A662DBE59BEB4BA2B797B8B9CECA2833_12</vt:lpwstr>
  </property>
  <property fmtid="{D5CDD505-2E9C-101B-9397-08002B2CF9AE}" pid="3" name="KSOProductBuildVer">
    <vt:lpwstr>2052-12.1.0.28043</vt:lpwstr>
  </property>
  <property fmtid="{D5CDD505-2E9C-101B-9397-08002B2CF9AE}" pid="4" name="CalculationRule">
    <vt:i4>0</vt:i4>
  </property>
</Properties>
</file>